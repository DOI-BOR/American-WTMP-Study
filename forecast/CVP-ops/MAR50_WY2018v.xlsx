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RMA_Project_Data\USBR-TempModeling\WTMP Git\UpperSac-ForecastingWorkshop\forecast\CVP-ops\"/>
    </mc:Choice>
  </mc:AlternateContent>
  <xr:revisionPtr revIDLastSave="0" documentId="13_ncr:1_{A9EA2F50-8B03-4EBD-91C5-A3FC64C3F1D1}" xr6:coauthVersionLast="47" xr6:coauthVersionMax="47" xr10:uidLastSave="{00000000-0000-0000-0000-000000000000}"/>
  <bookViews>
    <workbookView xWindow="-120" yWindow="-120" windowWidth="29040" windowHeight="16440" xr2:uid="{6A8BA9C2-AFB9-4A45-B4E0-ABDCB1C8E7FB}"/>
  </bookViews>
  <sheets>
    <sheet name="Mar50_WY2018" sheetId="1" r:id="rId1"/>
  </sheets>
  <externalReferences>
    <externalReference r:id="rId2"/>
  </externalReferences>
  <definedNames>
    <definedName name="_xlnm.Print_Area" localSheetId="0">Mar50_WY2018!$A$263:$N$280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0" i="1" l="1"/>
  <c r="B121" i="1"/>
  <c r="B122" i="1"/>
</calcChain>
</file>

<file path=xl/sharedStrings.xml><?xml version="1.0" encoding="utf-8"?>
<sst xmlns="http://schemas.openxmlformats.org/spreadsheetml/2006/main" count="231" uniqueCount="93">
  <si>
    <t>View Results:</t>
  </si>
  <si>
    <t>Shasta</t>
  </si>
  <si>
    <t>Beginning Page</t>
  </si>
  <si>
    <t xml:space="preserve"> Trinity/Clair Engle</t>
  </si>
  <si>
    <t>Model Input</t>
  </si>
  <si>
    <t>Inflow</t>
  </si>
  <si>
    <t>Summay</t>
  </si>
  <si>
    <t>Est. Evap.</t>
  </si>
  <si>
    <t>Jan</t>
  </si>
  <si>
    <t>Total Release</t>
  </si>
  <si>
    <t>Feb</t>
  </si>
  <si>
    <t>River Rel. - cfs</t>
  </si>
  <si>
    <t>Mar</t>
  </si>
  <si>
    <t>River Rel. - TAF</t>
  </si>
  <si>
    <t>Apr</t>
  </si>
  <si>
    <t>Carr PP</t>
  </si>
  <si>
    <t>May</t>
  </si>
  <si>
    <t>Actual Storage</t>
  </si>
  <si>
    <t>Jun</t>
  </si>
  <si>
    <t>Elevation (feet)</t>
  </si>
  <si>
    <t>July</t>
  </si>
  <si>
    <t>Area (acres)</t>
  </si>
  <si>
    <t>Aug</t>
  </si>
  <si>
    <t>Sep</t>
  </si>
  <si>
    <t>Oct</t>
  </si>
  <si>
    <t>Nov</t>
  </si>
  <si>
    <t>Dec</t>
  </si>
  <si>
    <t>Whiskeytown</t>
  </si>
  <si>
    <t>Spring Cr.</t>
  </si>
  <si>
    <t>Storage</t>
  </si>
  <si>
    <t>Clear Creek-cfs</t>
  </si>
  <si>
    <t>Clear Creek-taf</t>
  </si>
  <si>
    <t>CC AFRP</t>
  </si>
  <si>
    <t>Total Shasta Release</t>
  </si>
  <si>
    <t>Keswick-cfs</t>
  </si>
  <si>
    <t>Keswick-taf</t>
  </si>
  <si>
    <t>Keswick Target (cfs)</t>
  </si>
  <si>
    <t>Wilkin's Target (cfs)</t>
  </si>
  <si>
    <t>Keswick to Wilkins Acc/dep (cfs)</t>
  </si>
  <si>
    <t>Flow@Wilkin's Slough (cfs)</t>
  </si>
  <si>
    <t>Sac AFRP</t>
  </si>
  <si>
    <t>Oroville</t>
  </si>
  <si>
    <t>Total Releases - TAF</t>
  </si>
  <si>
    <t xml:space="preserve">Storage </t>
  </si>
  <si>
    <t>Feather Minimum (cfs)</t>
  </si>
  <si>
    <t>Feather - Target (TAF)</t>
  </si>
  <si>
    <t>Actual Feather Release (TAF)</t>
  </si>
  <si>
    <t>Thermolito - Demand TAF</t>
  </si>
  <si>
    <t>Folsom</t>
  </si>
  <si>
    <t>Pumping (FP)</t>
  </si>
  <si>
    <t>FS Canal (FSC)</t>
  </si>
  <si>
    <t>Nimbus Minimum (cfs)</t>
  </si>
  <si>
    <t>Nimbus Minimum (TAF)</t>
  </si>
  <si>
    <t>Actual Nimbus Release (TAF)</t>
  </si>
  <si>
    <t>Amer AFRP</t>
  </si>
  <si>
    <t>New Melones</t>
  </si>
  <si>
    <t>Tull. Stor.</t>
  </si>
  <si>
    <t>Goodwin - cfs</t>
  </si>
  <si>
    <t>Goodwin - TAF</t>
  </si>
  <si>
    <t>OID/SSJID</t>
  </si>
  <si>
    <t>CVP Contractors</t>
  </si>
  <si>
    <t>S. J. above Stan - TAF</t>
  </si>
  <si>
    <t>S. J. @ VNS. - cfs</t>
  </si>
  <si>
    <t xml:space="preserve"> SAN LUIS/O'NEILL</t>
  </si>
  <si>
    <t>F SL P/G.</t>
  </si>
  <si>
    <t>Federal Storage</t>
  </si>
  <si>
    <t>State SL P/G.</t>
  </si>
  <si>
    <t>State Storage</t>
  </si>
  <si>
    <t>Total Storage</t>
  </si>
  <si>
    <t>Elevation (ft)</t>
  </si>
  <si>
    <t>DELTA</t>
  </si>
  <si>
    <t>Federal Banks</t>
  </si>
  <si>
    <t>Contra Costa</t>
  </si>
  <si>
    <t>Tracy</t>
  </si>
  <si>
    <t>Total Federal Exports</t>
  </si>
  <si>
    <t>State Banks Pumping</t>
  </si>
  <si>
    <t xml:space="preserve">Total Exports </t>
  </si>
  <si>
    <t>USBR Monthly COA Account</t>
  </si>
  <si>
    <t>Accumulated COA</t>
  </si>
  <si>
    <t>Computed Delta Outflow (NDOI)</t>
  </si>
  <si>
    <t>Excess Outflow (EO)</t>
  </si>
  <si>
    <t>Freeport Flow (FF) cfs</t>
  </si>
  <si>
    <t>X-channel Gates</t>
  </si>
  <si>
    <t>% Inflow Diverted</t>
  </si>
  <si>
    <t>% Inflow Diverted Std</t>
  </si>
  <si>
    <t>X2 Location (km from GG)</t>
  </si>
  <si>
    <t>X2 location Std.</t>
  </si>
  <si>
    <t>Trinity</t>
  </si>
  <si>
    <t>San Luis</t>
  </si>
  <si>
    <t>Delta</t>
  </si>
  <si>
    <t>closed</t>
  </si>
  <si>
    <t>open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</si>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</sst>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"/>
    <numFmt numFmtId="165" formatCode="0.0"/>
    <numFmt numFmtId="166" formatCode="#,##0.0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b/>
      <sz val="10"/>
      <name val="Arial"/>
      <family val="2"/>
    </font>
    <font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Border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164" fontId="4" fillId="0" borderId="0" xfId="1" applyNumberFormat="1" applyFont="1"/>
    <xf numFmtId="0" fontId="5" fillId="0" borderId="0" xfId="1" applyFont="1"/>
    <xf numFmtId="165" fontId="2" fillId="0" borderId="0" xfId="1" applyNumberFormat="1" applyFont="1"/>
    <xf numFmtId="1" fontId="2" fillId="0" borderId="0" xfId="1" applyNumberFormat="1" applyFont="1"/>
    <xf numFmtId="3" fontId="2" fillId="0" borderId="0" xfId="1" applyNumberFormat="1" applyFont="1"/>
    <xf numFmtId="0" fontId="4" fillId="0" borderId="0" xfId="1" applyFont="1"/>
    <xf numFmtId="0" fontId="6" fillId="0" borderId="0" xfId="1" applyFont="1" applyBorder="1"/>
    <xf numFmtId="0" fontId="2" fillId="0" borderId="0" xfId="1" applyFont="1" applyBorder="1"/>
    <xf numFmtId="0" fontId="3" fillId="0" borderId="0" xfId="1" applyFont="1" applyAlignment="1">
      <alignment horizontal="left" wrapText="1"/>
    </xf>
    <xf numFmtId="166" fontId="2" fillId="0" borderId="0" xfId="1" applyNumberFormat="1" applyFont="1"/>
    <xf numFmtId="0" fontId="7" fillId="0" borderId="0" xfId="1" applyFont="1"/>
    <xf numFmtId="3" fontId="2" fillId="0" borderId="0" xfId="1" applyNumberFormat="1" applyFont="1" applyAlignment="1">
      <alignment horizontal="right" wrapText="1"/>
    </xf>
    <xf numFmtId="0" fontId="2" fillId="2" borderId="0" xfId="1" applyFont="1" applyFill="1"/>
    <xf numFmtId="3" fontId="2" fillId="2" borderId="0" xfId="1" applyNumberFormat="1" applyFont="1" applyFill="1"/>
    <xf numFmtId="0" fontId="2" fillId="0" borderId="0" xfId="1" applyFont="1" applyAlignment="1">
      <alignment horizontal="center"/>
    </xf>
    <xf numFmtId="9" fontId="2" fillId="0" borderId="0" xfId="1" applyNumberFormat="1" applyFont="1"/>
    <xf numFmtId="9" fontId="2" fillId="0" borderId="0" xfId="2" applyFont="1"/>
    <xf numFmtId="0" fontId="4" fillId="0" borderId="0" xfId="1" applyFont="1" applyAlignment="1">
      <alignment horizontal="left" wrapText="1"/>
    </xf>
  </cellXfs>
  <cellStyles count="3">
    <cellStyle name="Normal" xfId="0" builtinId="0"/>
    <cellStyle name="Normal 2" xfId="1" xr:uid="{C8BD419C-4A23-4DE9-845A-894C701F5F2E}"/>
    <cellStyle name="Percent 2" xfId="2" xr:uid="{97FB355A-F2DC-4192-A18E-C0521A9CC3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Trinity Reservoir</a:t>
            </a:r>
          </a:p>
        </c:rich>
      </c:tx>
      <c:layout>
        <c:manualLayout>
          <c:xMode val="edge"/>
          <c:yMode val="edge"/>
          <c:x val="0.44086077949933694"/>
          <c:y val="3.14764891676675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0931952960448323E-2"/>
          <c:y val="0.14285714285714296"/>
          <c:w val="0.84856705078741956"/>
          <c:h val="0.673123486682809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Mar50_WY2018!$C$3:$N$3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Mar50_WY2018!$C$5:$N$5</c:f>
              <c:numCache>
                <c:formatCode>General</c:formatCode>
                <c:ptCount val="12"/>
                <c:pt idx="0">
                  <c:v>117</c:v>
                </c:pt>
                <c:pt idx="1">
                  <c:v>166</c:v>
                </c:pt>
                <c:pt idx="2">
                  <c:v>103</c:v>
                </c:pt>
                <c:pt idx="3">
                  <c:v>35</c:v>
                </c:pt>
                <c:pt idx="4">
                  <c:v>12</c:v>
                </c:pt>
                <c:pt idx="5">
                  <c:v>7</c:v>
                </c:pt>
                <c:pt idx="6">
                  <c:v>5</c:v>
                </c:pt>
                <c:pt idx="7">
                  <c:v>14</c:v>
                </c:pt>
                <c:pt idx="8">
                  <c:v>32</c:v>
                </c:pt>
                <c:pt idx="9">
                  <c:v>58</c:v>
                </c:pt>
                <c:pt idx="10">
                  <c:v>85</c:v>
                </c:pt>
                <c:pt idx="11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5-423C-AF51-085989C8D8B3}"/>
            </c:ext>
          </c:extLst>
        </c:ser>
        <c:ser>
          <c:idx val="0"/>
          <c:order val="1"/>
          <c:tx>
            <c:v>Releases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Mar50_WY2018!$C$3:$N$3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Mar50_WY2018!$C$7:$N$7</c:f>
              <c:numCache>
                <c:formatCode>0.0</c:formatCode>
                <c:ptCount val="12"/>
                <c:pt idx="0">
                  <c:v>53</c:v>
                </c:pt>
                <c:pt idx="1">
                  <c:v>72</c:v>
                </c:pt>
                <c:pt idx="2">
                  <c:v>203.7</c:v>
                </c:pt>
                <c:pt idx="3">
                  <c:v>117.6</c:v>
                </c:pt>
                <c:pt idx="4">
                  <c:v>111.3</c:v>
                </c:pt>
                <c:pt idx="5">
                  <c:v>137.19999999999999</c:v>
                </c:pt>
                <c:pt idx="6">
                  <c:v>127.7</c:v>
                </c:pt>
                <c:pt idx="7">
                  <c:v>48.9</c:v>
                </c:pt>
                <c:pt idx="8">
                  <c:v>43.2</c:v>
                </c:pt>
                <c:pt idx="9">
                  <c:v>27</c:v>
                </c:pt>
                <c:pt idx="10">
                  <c:v>18.7</c:v>
                </c:pt>
                <c:pt idx="11">
                  <c:v>18.2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05-423C-AF51-085989C8D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2345352"/>
        <c:axId val="472345744"/>
      </c:barChart>
      <c:lineChart>
        <c:grouping val="standard"/>
        <c:varyColors val="0"/>
        <c:ser>
          <c:idx val="2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Mar50_WY2018!$C$11:$N$11</c:f>
              <c:numCache>
                <c:formatCode>0.0</c:formatCode>
                <c:ptCount val="12"/>
                <c:pt idx="0">
                  <c:v>1848.4</c:v>
                </c:pt>
                <c:pt idx="1">
                  <c:v>1937.3</c:v>
                </c:pt>
                <c:pt idx="2">
                  <c:v>1829.8</c:v>
                </c:pt>
                <c:pt idx="3">
                  <c:v>1739.6</c:v>
                </c:pt>
                <c:pt idx="4">
                  <c:v>1630.6</c:v>
                </c:pt>
                <c:pt idx="5">
                  <c:v>1491.8</c:v>
                </c:pt>
                <c:pt idx="6">
                  <c:v>1362.4</c:v>
                </c:pt>
                <c:pt idx="7">
                  <c:v>1324.4</c:v>
                </c:pt>
                <c:pt idx="8">
                  <c:v>1311.6</c:v>
                </c:pt>
                <c:pt idx="9">
                  <c:v>1341.7</c:v>
                </c:pt>
                <c:pt idx="10">
                  <c:v>1406.3</c:v>
                </c:pt>
                <c:pt idx="11">
                  <c:v>1516.7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05-423C-AF51-085989C8D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346136"/>
        <c:axId val="472346528"/>
      </c:lineChart>
      <c:catAx>
        <c:axId val="472345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234574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723457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336917562724002E-2"/>
              <c:y val="0.343825665859564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2345352"/>
        <c:crosses val="autoZero"/>
        <c:crossBetween val="between"/>
      </c:valAx>
      <c:catAx>
        <c:axId val="472346136"/>
        <c:scaling>
          <c:orientation val="minMax"/>
        </c:scaling>
        <c:delete val="1"/>
        <c:axPos val="b"/>
        <c:majorTickMark val="out"/>
        <c:minorTickMark val="none"/>
        <c:tickLblPos val="none"/>
        <c:crossAx val="472346528"/>
        <c:crosses val="autoZero"/>
        <c:auto val="0"/>
        <c:lblAlgn val="ctr"/>
        <c:lblOffset val="100"/>
        <c:noMultiLvlLbl val="0"/>
      </c:catAx>
      <c:valAx>
        <c:axId val="472346528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95066745689095"/>
              <c:y val="0.3970949394037611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234613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6706220127159328"/>
          <c:y val="0.9083337953357925"/>
          <c:w val="0.2023726965185588"/>
          <c:h val="6.458336618213206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Whiskeytown Reservior</a:t>
            </a:r>
          </a:p>
        </c:rich>
      </c:tx>
      <c:layout>
        <c:manualLayout>
          <c:xMode val="edge"/>
          <c:yMode val="edge"/>
          <c:x val="0.41467917061331516"/>
          <c:y val="3.1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19748729974402E-2"/>
          <c:y val="0.13221153846153846"/>
          <c:w val="0.86776937321490255"/>
          <c:h val="0.6875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Mar50_WY2018!$C$36:$N$36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Mar50_WY2018!$C$38:$N$38</c:f>
              <c:numCache>
                <c:formatCode>General</c:formatCode>
                <c:ptCount val="12"/>
                <c:pt idx="0">
                  <c:v>38</c:v>
                </c:pt>
                <c:pt idx="1">
                  <c:v>25</c:v>
                </c:pt>
                <c:pt idx="2">
                  <c:v>16</c:v>
                </c:pt>
                <c:pt idx="3">
                  <c:v>8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7</c:v>
                </c:pt>
                <c:pt idx="9">
                  <c:v>16</c:v>
                </c:pt>
                <c:pt idx="10">
                  <c:v>35</c:v>
                </c:pt>
                <c:pt idx="11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4-4ADF-82BA-0C2F0A2E8195}"/>
            </c:ext>
          </c:extLst>
        </c:ser>
        <c:ser>
          <c:idx val="0"/>
          <c:order val="1"/>
          <c:tx>
            <c:v>Releases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Mar50_WY2018!$C$36:$N$36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Mar50_WY2018!$C$40:$N$40</c:f>
              <c:numCache>
                <c:formatCode>0.0</c:formatCode>
                <c:ptCount val="12"/>
                <c:pt idx="0">
                  <c:v>72.3</c:v>
                </c:pt>
                <c:pt idx="1">
                  <c:v>28</c:v>
                </c:pt>
                <c:pt idx="2">
                  <c:v>38.299999999999997</c:v>
                </c:pt>
                <c:pt idx="3">
                  <c:v>77.099999999999994</c:v>
                </c:pt>
                <c:pt idx="4">
                  <c:v>84.2</c:v>
                </c:pt>
                <c:pt idx="5">
                  <c:v>84.2</c:v>
                </c:pt>
                <c:pt idx="6">
                  <c:v>83.9</c:v>
                </c:pt>
                <c:pt idx="7">
                  <c:v>52.3</c:v>
                </c:pt>
                <c:pt idx="8">
                  <c:v>31.9</c:v>
                </c:pt>
                <c:pt idx="9">
                  <c:v>24.3</c:v>
                </c:pt>
                <c:pt idx="10">
                  <c:v>34.799999999999997</c:v>
                </c:pt>
                <c:pt idx="11">
                  <c:v>46.1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14-4ADF-82BA-0C2F0A2E8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2347312"/>
        <c:axId val="472347704"/>
      </c:barChart>
      <c:lineChart>
        <c:grouping val="standard"/>
        <c:varyColors val="0"/>
        <c:ser>
          <c:idx val="2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Mar50_WY2018!$C$42:$N$42</c:f>
              <c:numCache>
                <c:formatCode>0</c:formatCode>
                <c:ptCount val="12"/>
                <c:pt idx="0">
                  <c:v>206</c:v>
                </c:pt>
                <c:pt idx="1">
                  <c:v>238</c:v>
                </c:pt>
                <c:pt idx="2">
                  <c:v>238</c:v>
                </c:pt>
                <c:pt idx="3">
                  <c:v>238</c:v>
                </c:pt>
                <c:pt idx="4">
                  <c:v>238</c:v>
                </c:pt>
                <c:pt idx="5">
                  <c:v>238</c:v>
                </c:pt>
                <c:pt idx="6">
                  <c:v>230</c:v>
                </c:pt>
                <c:pt idx="7">
                  <c:v>206</c:v>
                </c:pt>
                <c:pt idx="8">
                  <c:v>206</c:v>
                </c:pt>
                <c:pt idx="9">
                  <c:v>206</c:v>
                </c:pt>
                <c:pt idx="10">
                  <c:v>206</c:v>
                </c:pt>
                <c:pt idx="11">
                  <c:v>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14-4ADF-82BA-0C2F0A2E8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348096"/>
        <c:axId val="472348488"/>
      </c:lineChart>
      <c:catAx>
        <c:axId val="47234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234770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72347704"/>
        <c:scaling>
          <c:orientation val="minMax"/>
          <c:max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678977799951315E-2"/>
              <c:y val="0.346153846153846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2347312"/>
        <c:crosses val="autoZero"/>
        <c:crossBetween val="between"/>
        <c:majorUnit val="50"/>
        <c:minorUnit val="5"/>
      </c:valAx>
      <c:catAx>
        <c:axId val="472348096"/>
        <c:scaling>
          <c:orientation val="minMax"/>
        </c:scaling>
        <c:delete val="1"/>
        <c:axPos val="b"/>
        <c:majorTickMark val="out"/>
        <c:minorTickMark val="none"/>
        <c:tickLblPos val="none"/>
        <c:crossAx val="472348488"/>
        <c:crosses val="autoZero"/>
        <c:auto val="0"/>
        <c:lblAlgn val="ctr"/>
        <c:lblOffset val="100"/>
        <c:noMultiLvlLbl val="0"/>
      </c:catAx>
      <c:valAx>
        <c:axId val="472348488"/>
        <c:scaling>
          <c:orientation val="minMax"/>
          <c:max val="260"/>
          <c:min val="20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1379941143724"/>
              <c:y val="0.3990389662830611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234809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8197451575249547"/>
          <c:y val="0.90376869080176681"/>
          <c:w val="0.20743934376071838"/>
          <c:h val="6.9037886102912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Shasta Reservoir</a:t>
            </a:r>
          </a:p>
        </c:rich>
      </c:tx>
      <c:layout>
        <c:manualLayout>
          <c:xMode val="edge"/>
          <c:yMode val="edge"/>
          <c:x val="0.43851716725454609"/>
          <c:y val="2.9297080052493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1538488731303374E-2"/>
          <c:y val="0.11328125000000004"/>
          <c:w val="0.860633864462787"/>
          <c:h val="0.7382812500000003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Mar50_WY2018!$C$70:$N$70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Mar50_WY2018!$C$72:$N$72</c:f>
              <c:numCache>
                <c:formatCode>General</c:formatCode>
                <c:ptCount val="12"/>
                <c:pt idx="0">
                  <c:v>600</c:v>
                </c:pt>
                <c:pt idx="1">
                  <c:v>460</c:v>
                </c:pt>
                <c:pt idx="2">
                  <c:v>355</c:v>
                </c:pt>
                <c:pt idx="3">
                  <c:v>240</c:v>
                </c:pt>
                <c:pt idx="4">
                  <c:v>195</c:v>
                </c:pt>
                <c:pt idx="5">
                  <c:v>178</c:v>
                </c:pt>
                <c:pt idx="6">
                  <c:v>177</c:v>
                </c:pt>
                <c:pt idx="7">
                  <c:v>240</c:v>
                </c:pt>
                <c:pt idx="8">
                  <c:v>300</c:v>
                </c:pt>
                <c:pt idx="9">
                  <c:v>380</c:v>
                </c:pt>
                <c:pt idx="10">
                  <c:v>590</c:v>
                </c:pt>
                <c:pt idx="11">
                  <c:v>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7-4995-825B-05BA34B6391C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Mar50_WY2018!$C$70:$N$70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Mar50_WY2018!$C$74:$N$74</c:f>
              <c:numCache>
                <c:formatCode>0</c:formatCode>
                <c:ptCount val="12"/>
                <c:pt idx="0">
                  <c:v>140</c:v>
                </c:pt>
                <c:pt idx="1">
                  <c:v>416</c:v>
                </c:pt>
                <c:pt idx="2">
                  <c:v>436</c:v>
                </c:pt>
                <c:pt idx="3">
                  <c:v>624</c:v>
                </c:pt>
                <c:pt idx="4">
                  <c:v>724</c:v>
                </c:pt>
                <c:pt idx="5">
                  <c:v>540</c:v>
                </c:pt>
                <c:pt idx="6">
                  <c:v>401</c:v>
                </c:pt>
                <c:pt idx="7">
                  <c:v>329</c:v>
                </c:pt>
                <c:pt idx="8">
                  <c:v>307</c:v>
                </c:pt>
                <c:pt idx="9">
                  <c:v>234</c:v>
                </c:pt>
                <c:pt idx="10">
                  <c:v>180</c:v>
                </c:pt>
                <c:pt idx="11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A7-4995-825B-05BA34B63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6322968"/>
        <c:axId val="476323360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cat>
            <c:strRef>
              <c:f>Mar50_WY2018!$C$70:$N$70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Mar50_WY2018!$C$78:$N$78</c:f>
              <c:numCache>
                <c:formatCode>0</c:formatCode>
                <c:ptCount val="12"/>
                <c:pt idx="0">
                  <c:v>3869</c:v>
                </c:pt>
                <c:pt idx="1">
                  <c:v>3903</c:v>
                </c:pt>
                <c:pt idx="2">
                  <c:v>3808</c:v>
                </c:pt>
                <c:pt idx="3">
                  <c:v>3408</c:v>
                </c:pt>
                <c:pt idx="4">
                  <c:v>2860</c:v>
                </c:pt>
                <c:pt idx="5">
                  <c:v>2483</c:v>
                </c:pt>
                <c:pt idx="6">
                  <c:v>2248</c:v>
                </c:pt>
                <c:pt idx="7">
                  <c:v>2153</c:v>
                </c:pt>
                <c:pt idx="8">
                  <c:v>2143</c:v>
                </c:pt>
                <c:pt idx="9">
                  <c:v>2288</c:v>
                </c:pt>
                <c:pt idx="10">
                  <c:v>2695</c:v>
                </c:pt>
                <c:pt idx="11">
                  <c:v>3277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A7-4995-825B-05BA34B6391C}"/>
            </c:ext>
          </c:extLst>
        </c:ser>
        <c:ser>
          <c:idx val="2"/>
          <c:order val="3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Storages'!$B$23:$M$23</c:f>
              <c:numCache>
                <c:formatCode>General</c:formatCode>
                <c:ptCount val="12"/>
                <c:pt idx="0">
                  <c:v>4552</c:v>
                </c:pt>
                <c:pt idx="1">
                  <c:v>4552</c:v>
                </c:pt>
                <c:pt idx="2">
                  <c:v>4552</c:v>
                </c:pt>
                <c:pt idx="3">
                  <c:v>4552</c:v>
                </c:pt>
                <c:pt idx="4">
                  <c:v>4552</c:v>
                </c:pt>
                <c:pt idx="5">
                  <c:v>4552</c:v>
                </c:pt>
                <c:pt idx="6">
                  <c:v>4552</c:v>
                </c:pt>
                <c:pt idx="7">
                  <c:v>3882</c:v>
                </c:pt>
                <c:pt idx="8">
                  <c:v>3252</c:v>
                </c:pt>
                <c:pt idx="9">
                  <c:v>3252</c:v>
                </c:pt>
                <c:pt idx="10">
                  <c:v>3872</c:v>
                </c:pt>
                <c:pt idx="11">
                  <c:v>4252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A7-4995-825B-05BA34B6391C}"/>
            </c:ext>
          </c:extLst>
        </c:ser>
        <c:ser>
          <c:idx val="3"/>
          <c:order val="4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'[1]Target Storages'!$B$22:$M$22</c:f>
              <c:numCache>
                <c:formatCode>General</c:formatCode>
                <c:ptCount val="12"/>
                <c:pt idx="0">
                  <c:v>3412</c:v>
                </c:pt>
                <c:pt idx="1">
                  <c:v>3852</c:v>
                </c:pt>
                <c:pt idx="2">
                  <c:v>4322</c:v>
                </c:pt>
                <c:pt idx="3">
                  <c:v>4552</c:v>
                </c:pt>
                <c:pt idx="4">
                  <c:v>4552</c:v>
                </c:pt>
                <c:pt idx="5">
                  <c:v>4552</c:v>
                </c:pt>
                <c:pt idx="6">
                  <c:v>4552</c:v>
                </c:pt>
                <c:pt idx="7">
                  <c:v>3882</c:v>
                </c:pt>
                <c:pt idx="8">
                  <c:v>3252</c:v>
                </c:pt>
                <c:pt idx="9">
                  <c:v>3252</c:v>
                </c:pt>
                <c:pt idx="10">
                  <c:v>3252</c:v>
                </c:pt>
                <c:pt idx="11">
                  <c:v>3252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A7-4995-825B-05BA34B63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323752"/>
        <c:axId val="476324144"/>
      </c:lineChart>
      <c:catAx>
        <c:axId val="476322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33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763233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466526525813241E-2"/>
              <c:y val="0.378906250000000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2968"/>
        <c:crosses val="autoZero"/>
        <c:crossBetween val="between"/>
        <c:majorUnit val="200"/>
      </c:valAx>
      <c:catAx>
        <c:axId val="4763237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76324144"/>
        <c:crosses val="autoZero"/>
        <c:auto val="0"/>
        <c:lblAlgn val="ctr"/>
        <c:lblOffset val="100"/>
        <c:noMultiLvlLbl val="0"/>
      </c:catAx>
      <c:valAx>
        <c:axId val="476324144"/>
        <c:scaling>
          <c:orientation val="minMax"/>
          <c:max val="5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64192824313311"/>
              <c:y val="0.421875000000000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3752"/>
        <c:crosses val="max"/>
        <c:crossBetween val="between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1712487213365875"/>
          <c:y val="0.92190343865943791"/>
          <c:w val="0.34883735934702431"/>
          <c:h val="5.602728080250728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Oroville Reservoir</a:t>
            </a:r>
          </a:p>
        </c:rich>
      </c:tx>
      <c:layout>
        <c:manualLayout>
          <c:xMode val="edge"/>
          <c:yMode val="edge"/>
          <c:x val="0.42588753048204753"/>
          <c:y val="3.0172413793103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6120959332638169E-2"/>
          <c:y val="0.10129310344827598"/>
          <c:w val="0.84462982273201292"/>
          <c:h val="0.7406609195402298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Mar50_WY2018!$C$111:$N$111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Mar50_WY2018!$C$113:$N$113</c:f>
              <c:numCache>
                <c:formatCode>0</c:formatCode>
                <c:ptCount val="12"/>
                <c:pt idx="0">
                  <c:v>250</c:v>
                </c:pt>
                <c:pt idx="1">
                  <c:v>130</c:v>
                </c:pt>
                <c:pt idx="2">
                  <c:v>116</c:v>
                </c:pt>
                <c:pt idx="3">
                  <c:v>89</c:v>
                </c:pt>
                <c:pt idx="4">
                  <c:v>118</c:v>
                </c:pt>
                <c:pt idx="5">
                  <c:v>121</c:v>
                </c:pt>
                <c:pt idx="6">
                  <c:v>126</c:v>
                </c:pt>
                <c:pt idx="7">
                  <c:v>120</c:v>
                </c:pt>
                <c:pt idx="8">
                  <c:v>170</c:v>
                </c:pt>
                <c:pt idx="9">
                  <c:v>220</c:v>
                </c:pt>
                <c:pt idx="10">
                  <c:v>320</c:v>
                </c:pt>
                <c:pt idx="11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06-4AFF-B48D-97859EC44404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Mar50_WY2018!$C$111:$N$111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Mar50_WY2018!$C$115:$N$115</c:f>
              <c:numCache>
                <c:formatCode>0</c:formatCode>
                <c:ptCount val="12"/>
                <c:pt idx="0">
                  <c:v>108</c:v>
                </c:pt>
                <c:pt idx="1">
                  <c:v>147</c:v>
                </c:pt>
                <c:pt idx="2">
                  <c:v>251</c:v>
                </c:pt>
                <c:pt idx="3">
                  <c:v>270</c:v>
                </c:pt>
                <c:pt idx="4">
                  <c:v>312</c:v>
                </c:pt>
                <c:pt idx="5">
                  <c:v>269</c:v>
                </c:pt>
                <c:pt idx="6">
                  <c:v>141</c:v>
                </c:pt>
                <c:pt idx="7">
                  <c:v>150</c:v>
                </c:pt>
                <c:pt idx="8">
                  <c:v>190</c:v>
                </c:pt>
                <c:pt idx="9">
                  <c:v>157</c:v>
                </c:pt>
                <c:pt idx="10">
                  <c:v>96</c:v>
                </c:pt>
                <c:pt idx="1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06-4AFF-B48D-97859EC44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6324928"/>
        <c:axId val="476325320"/>
      </c:barChart>
      <c:lineChart>
        <c:grouping val="standard"/>
        <c:varyColors val="0"/>
        <c:ser>
          <c:idx val="2"/>
          <c:order val="4"/>
          <c:tx>
            <c:v> 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Mar50_WY2018!$C$111:$N$111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'[1]Target Storages'!$B$24:$M$24</c:f>
              <c:numCache>
                <c:formatCode>General</c:formatCode>
                <c:ptCount val="12"/>
                <c:pt idx="0">
                  <c:v>2788</c:v>
                </c:pt>
                <c:pt idx="1">
                  <c:v>3083</c:v>
                </c:pt>
                <c:pt idx="2">
                  <c:v>3388</c:v>
                </c:pt>
                <c:pt idx="3">
                  <c:v>3538</c:v>
                </c:pt>
                <c:pt idx="4">
                  <c:v>3538</c:v>
                </c:pt>
                <c:pt idx="5">
                  <c:v>3538</c:v>
                </c:pt>
                <c:pt idx="6">
                  <c:v>3148</c:v>
                </c:pt>
                <c:pt idx="7">
                  <c:v>2788</c:v>
                </c:pt>
                <c:pt idx="8">
                  <c:v>2788</c:v>
                </c:pt>
                <c:pt idx="9">
                  <c:v>2788</c:v>
                </c:pt>
                <c:pt idx="10">
                  <c:v>2788</c:v>
                </c:pt>
                <c:pt idx="11">
                  <c:v>2788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06-4AFF-B48D-97859EC44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324928"/>
        <c:axId val="476325320"/>
      </c:lineChart>
      <c:lineChart>
        <c:grouping val="standard"/>
        <c:varyColors val="0"/>
        <c:ser>
          <c:idx val="3"/>
          <c:order val="2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Storages'!$B$25:$M$25</c:f>
              <c:numCache>
                <c:formatCode>General</c:formatCode>
                <c:ptCount val="12"/>
                <c:pt idx="0">
                  <c:v>3163</c:v>
                </c:pt>
                <c:pt idx="1">
                  <c:v>3458</c:v>
                </c:pt>
                <c:pt idx="2">
                  <c:v>3538</c:v>
                </c:pt>
                <c:pt idx="3">
                  <c:v>3538</c:v>
                </c:pt>
                <c:pt idx="4">
                  <c:v>3538</c:v>
                </c:pt>
                <c:pt idx="5">
                  <c:v>3538</c:v>
                </c:pt>
                <c:pt idx="6">
                  <c:v>3343</c:v>
                </c:pt>
                <c:pt idx="7">
                  <c:v>3163</c:v>
                </c:pt>
                <c:pt idx="8">
                  <c:v>3163</c:v>
                </c:pt>
                <c:pt idx="9">
                  <c:v>3163</c:v>
                </c:pt>
                <c:pt idx="10">
                  <c:v>3163</c:v>
                </c:pt>
                <c:pt idx="11">
                  <c:v>3163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06-4AFF-B48D-97859EC44404}"/>
            </c:ext>
          </c:extLst>
        </c:ser>
        <c:ser>
          <c:idx val="4"/>
          <c:order val="3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Mar50_WY2018!$C$111:$N$111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Mar50_WY2018!$C$116:$N$116</c:f>
              <c:numCache>
                <c:formatCode>0</c:formatCode>
                <c:ptCount val="12"/>
                <c:pt idx="0">
                  <c:v>1601</c:v>
                </c:pt>
                <c:pt idx="1">
                  <c:v>1580</c:v>
                </c:pt>
                <c:pt idx="2">
                  <c:v>1441</c:v>
                </c:pt>
                <c:pt idx="3">
                  <c:v>1255</c:v>
                </c:pt>
                <c:pt idx="4">
                  <c:v>1055</c:v>
                </c:pt>
                <c:pt idx="5">
                  <c:v>902</c:v>
                </c:pt>
                <c:pt idx="6">
                  <c:v>883</c:v>
                </c:pt>
                <c:pt idx="7">
                  <c:v>851</c:v>
                </c:pt>
                <c:pt idx="8">
                  <c:v>830</c:v>
                </c:pt>
                <c:pt idx="9">
                  <c:v>892</c:v>
                </c:pt>
                <c:pt idx="10">
                  <c:v>1114</c:v>
                </c:pt>
                <c:pt idx="11">
                  <c:v>1508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06-4AFF-B48D-97859EC44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325712"/>
        <c:axId val="476326104"/>
      </c:lineChart>
      <c:catAx>
        <c:axId val="476324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532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763253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356990960071598E-2"/>
              <c:y val="0.351293555977916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4928"/>
        <c:crosses val="autoZero"/>
        <c:crossBetween val="between"/>
        <c:majorUnit val="500"/>
      </c:valAx>
      <c:catAx>
        <c:axId val="476325712"/>
        <c:scaling>
          <c:orientation val="minMax"/>
        </c:scaling>
        <c:delete val="1"/>
        <c:axPos val="b"/>
        <c:majorTickMark val="out"/>
        <c:minorTickMark val="none"/>
        <c:tickLblPos val="none"/>
        <c:crossAx val="476326104"/>
        <c:crosses val="autoZero"/>
        <c:auto val="0"/>
        <c:lblAlgn val="ctr"/>
        <c:lblOffset val="100"/>
        <c:noMultiLvlLbl val="0"/>
      </c:catAx>
      <c:valAx>
        <c:axId val="476326104"/>
        <c:scaling>
          <c:orientation val="minMax"/>
          <c:max val="4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764138059384974"/>
              <c:y val="0.398706444022083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5712"/>
        <c:crosses val="max"/>
        <c:crossBetween val="between"/>
        <c:majorUnit val="10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043832893706242"/>
          <c:y val="0.91637704769662409"/>
          <c:w val="0.4139612850603091"/>
          <c:h val="6.179782344269311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Folsom Reservoir</a:t>
            </a:r>
          </a:p>
        </c:rich>
      </c:tx>
      <c:layout>
        <c:manualLayout>
          <c:xMode val="edge"/>
          <c:yMode val="edge"/>
          <c:x val="0.44067814404555361"/>
          <c:y val="3.006012024048096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25426429019808E-2"/>
          <c:y val="0.13226465848166891"/>
          <c:w val="0.87033934319523931"/>
          <c:h val="0.71743557176420358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Mar50_WY2018!$C$147:$N$147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Mar50_WY2018!$C$149:$N$149</c:f>
              <c:numCache>
                <c:formatCode>General</c:formatCode>
                <c:ptCount val="12"/>
                <c:pt idx="0">
                  <c:v>197</c:v>
                </c:pt>
                <c:pt idx="1">
                  <c:v>171</c:v>
                </c:pt>
                <c:pt idx="2">
                  <c:v>160</c:v>
                </c:pt>
                <c:pt idx="3">
                  <c:v>87</c:v>
                </c:pt>
                <c:pt idx="4">
                  <c:v>76</c:v>
                </c:pt>
                <c:pt idx="5">
                  <c:v>80</c:v>
                </c:pt>
                <c:pt idx="6">
                  <c:v>69</c:v>
                </c:pt>
                <c:pt idx="7">
                  <c:v>90</c:v>
                </c:pt>
                <c:pt idx="8">
                  <c:v>100</c:v>
                </c:pt>
                <c:pt idx="9">
                  <c:v>120</c:v>
                </c:pt>
                <c:pt idx="10">
                  <c:v>160</c:v>
                </c:pt>
                <c:pt idx="11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A-40C4-9ED9-DA0366C22577}"/>
            </c:ext>
          </c:extLst>
        </c:ser>
        <c:ser>
          <c:idx val="0"/>
          <c:order val="1"/>
          <c:tx>
            <c:v>Total 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Mar50_WY2018!$C$147:$N$147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Mar50_WY2018!$C$151:$N$151</c:f>
              <c:numCache>
                <c:formatCode>0.0</c:formatCode>
                <c:ptCount val="12"/>
                <c:pt idx="0">
                  <c:v>130.69999999999999</c:v>
                </c:pt>
                <c:pt idx="1">
                  <c:v>180</c:v>
                </c:pt>
                <c:pt idx="2">
                  <c:v>125.1</c:v>
                </c:pt>
                <c:pt idx="3">
                  <c:v>191.3</c:v>
                </c:pt>
                <c:pt idx="4">
                  <c:v>158.6</c:v>
                </c:pt>
                <c:pt idx="5">
                  <c:v>146</c:v>
                </c:pt>
                <c:pt idx="6">
                  <c:v>87.9</c:v>
                </c:pt>
                <c:pt idx="7">
                  <c:v>89.2</c:v>
                </c:pt>
                <c:pt idx="8">
                  <c:v>83.7</c:v>
                </c:pt>
                <c:pt idx="9">
                  <c:v>84.3</c:v>
                </c:pt>
                <c:pt idx="10">
                  <c:v>84.3</c:v>
                </c:pt>
                <c:pt idx="11">
                  <c:v>118.5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AA-40C4-9ED9-DA0366C22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6326888"/>
        <c:axId val="476327280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Mar50_WY2018!$C$147:$N$147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Mar50_WY2018!$C$157:$N$157</c:f>
              <c:numCache>
                <c:formatCode>0</c:formatCode>
                <c:ptCount val="12"/>
                <c:pt idx="0">
                  <c:v>591</c:v>
                </c:pt>
                <c:pt idx="1">
                  <c:v>578</c:v>
                </c:pt>
                <c:pt idx="2">
                  <c:v>609</c:v>
                </c:pt>
                <c:pt idx="3">
                  <c:v>499</c:v>
                </c:pt>
                <c:pt idx="4">
                  <c:v>410</c:v>
                </c:pt>
                <c:pt idx="5">
                  <c:v>339</c:v>
                </c:pt>
                <c:pt idx="6">
                  <c:v>316</c:v>
                </c:pt>
                <c:pt idx="7">
                  <c:v>315</c:v>
                </c:pt>
                <c:pt idx="8">
                  <c:v>331</c:v>
                </c:pt>
                <c:pt idx="9">
                  <c:v>366</c:v>
                </c:pt>
                <c:pt idx="10">
                  <c:v>440</c:v>
                </c:pt>
                <c:pt idx="11">
                  <c:v>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AA-40C4-9ED9-DA0366C22577}"/>
            </c:ext>
          </c:extLst>
        </c:ser>
        <c:ser>
          <c:idx val="2"/>
          <c:order val="3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'[1]Target Storages'!$B$29:$M$29</c:f>
              <c:numCache>
                <c:formatCode>General</c:formatCode>
                <c:ptCount val="12"/>
                <c:pt idx="0">
                  <c:v>565</c:v>
                </c:pt>
                <c:pt idx="1">
                  <c:v>805</c:v>
                </c:pt>
                <c:pt idx="2">
                  <c:v>975</c:v>
                </c:pt>
                <c:pt idx="3">
                  <c:v>975</c:v>
                </c:pt>
                <c:pt idx="4">
                  <c:v>975</c:v>
                </c:pt>
                <c:pt idx="5">
                  <c:v>975</c:v>
                </c:pt>
                <c:pt idx="6">
                  <c:v>975</c:v>
                </c:pt>
                <c:pt idx="7">
                  <c:v>605</c:v>
                </c:pt>
                <c:pt idx="8">
                  <c:v>305</c:v>
                </c:pt>
                <c:pt idx="9">
                  <c:v>305</c:v>
                </c:pt>
                <c:pt idx="10">
                  <c:v>305</c:v>
                </c:pt>
                <c:pt idx="11">
                  <c:v>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AA-40C4-9ED9-DA0366C22577}"/>
            </c:ext>
          </c:extLst>
        </c:ser>
        <c:ser>
          <c:idx val="3"/>
          <c:order val="4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Storages'!$B$28:$M$28</c:f>
              <c:numCache>
                <c:formatCode>General</c:formatCode>
                <c:ptCount val="12"/>
                <c:pt idx="0">
                  <c:v>675</c:v>
                </c:pt>
                <c:pt idx="1">
                  <c:v>805</c:v>
                </c:pt>
                <c:pt idx="2">
                  <c:v>975</c:v>
                </c:pt>
                <c:pt idx="3">
                  <c:v>975</c:v>
                </c:pt>
                <c:pt idx="4">
                  <c:v>975</c:v>
                </c:pt>
                <c:pt idx="5">
                  <c:v>975</c:v>
                </c:pt>
                <c:pt idx="6">
                  <c:v>975</c:v>
                </c:pt>
                <c:pt idx="7">
                  <c:v>700</c:v>
                </c:pt>
                <c:pt idx="8">
                  <c:v>575</c:v>
                </c:pt>
                <c:pt idx="9">
                  <c:v>575</c:v>
                </c:pt>
                <c:pt idx="10">
                  <c:v>575</c:v>
                </c:pt>
                <c:pt idx="11">
                  <c:v>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AA-40C4-9ED9-DA0366C22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327672"/>
        <c:axId val="476328064"/>
      </c:lineChart>
      <c:catAx>
        <c:axId val="476326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728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76327280"/>
        <c:scaling>
          <c:orientation val="minMax"/>
          <c:max val="1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3559322033898299E-2"/>
              <c:y val="0.374749919787080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6888"/>
        <c:crosses val="autoZero"/>
        <c:crossBetween val="between"/>
        <c:majorUnit val="200"/>
      </c:valAx>
      <c:catAx>
        <c:axId val="4763276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76328064"/>
        <c:crosses val="autoZero"/>
        <c:auto val="0"/>
        <c:lblAlgn val="ctr"/>
        <c:lblOffset val="100"/>
        <c:noMultiLvlLbl val="0"/>
      </c:catAx>
      <c:valAx>
        <c:axId val="476328064"/>
        <c:scaling>
          <c:orientation val="minMax"/>
          <c:max val="1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779705502913882"/>
              <c:y val="0.4188380961397863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7672"/>
        <c:crosses val="max"/>
        <c:crossBetween val="between"/>
        <c:majorUnit val="1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3201325482371191"/>
          <c:y val="0.92683123934806699"/>
          <c:w val="0.35181523821280036"/>
          <c:h val="5.400708349584602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New Melones Reservoir</a:t>
            </a:r>
          </a:p>
        </c:rich>
      </c:tx>
      <c:layout>
        <c:manualLayout>
          <c:xMode val="edge"/>
          <c:yMode val="edge"/>
          <c:x val="0.41388927772917306"/>
          <c:y val="2.98804780876494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296360764215097E-2"/>
          <c:y val="0.12151406241641102"/>
          <c:w val="0.85648225593375249"/>
          <c:h val="0.72908437449846564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Mar50_WY2018!$C$187:$N$187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Mar50_WY2018!$C$189:$N$189</c:f>
              <c:numCache>
                <c:formatCode>0</c:formatCode>
                <c:ptCount val="12"/>
                <c:pt idx="0">
                  <c:v>75</c:v>
                </c:pt>
                <c:pt idx="1">
                  <c:v>103</c:v>
                </c:pt>
                <c:pt idx="2">
                  <c:v>108</c:v>
                </c:pt>
                <c:pt idx="3">
                  <c:v>72</c:v>
                </c:pt>
                <c:pt idx="4">
                  <c:v>43</c:v>
                </c:pt>
                <c:pt idx="5">
                  <c:v>38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40</c:v>
                </c:pt>
                <c:pt idx="10">
                  <c:v>50</c:v>
                </c:pt>
                <c:pt idx="1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C9-4752-95C9-ADBDBE9026D6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Mar50_WY2018!$C$187:$N$187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Mar50_WY2018!$C$191:$N$191</c:f>
              <c:numCache>
                <c:formatCode>0</c:formatCode>
                <c:ptCount val="12"/>
                <c:pt idx="0">
                  <c:v>54</c:v>
                </c:pt>
                <c:pt idx="1">
                  <c:v>165</c:v>
                </c:pt>
                <c:pt idx="2">
                  <c:v>195</c:v>
                </c:pt>
                <c:pt idx="3">
                  <c:v>127</c:v>
                </c:pt>
                <c:pt idx="4">
                  <c:v>105</c:v>
                </c:pt>
                <c:pt idx="5">
                  <c:v>90</c:v>
                </c:pt>
                <c:pt idx="6">
                  <c:v>69</c:v>
                </c:pt>
                <c:pt idx="7">
                  <c:v>71</c:v>
                </c:pt>
                <c:pt idx="8">
                  <c:v>12</c:v>
                </c:pt>
                <c:pt idx="9">
                  <c:v>12</c:v>
                </c:pt>
                <c:pt idx="10">
                  <c:v>14</c:v>
                </c:pt>
                <c:pt idx="1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C9-4752-95C9-ADBDBE902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6328848"/>
        <c:axId val="476329240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Mar50_WY2018!$C$187:$N$187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Mar50_WY2018!$C$197:$N$197</c:f>
              <c:numCache>
                <c:formatCode>0</c:formatCode>
                <c:ptCount val="12"/>
                <c:pt idx="0">
                  <c:v>1939</c:v>
                </c:pt>
                <c:pt idx="1">
                  <c:v>1872</c:v>
                </c:pt>
                <c:pt idx="2">
                  <c:v>1780</c:v>
                </c:pt>
                <c:pt idx="3">
                  <c:v>1719</c:v>
                </c:pt>
                <c:pt idx="4">
                  <c:v>1649</c:v>
                </c:pt>
                <c:pt idx="5">
                  <c:v>1590</c:v>
                </c:pt>
                <c:pt idx="6">
                  <c:v>1551</c:v>
                </c:pt>
                <c:pt idx="7">
                  <c:v>1512</c:v>
                </c:pt>
                <c:pt idx="8">
                  <c:v>1534</c:v>
                </c:pt>
                <c:pt idx="9">
                  <c:v>1561</c:v>
                </c:pt>
                <c:pt idx="10">
                  <c:v>1595</c:v>
                </c:pt>
                <c:pt idx="11">
                  <c:v>1651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C9-4752-95C9-ADBDBE9026D6}"/>
            </c:ext>
          </c:extLst>
        </c:ser>
        <c:ser>
          <c:idx val="2"/>
          <c:order val="3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'[1]Target Storages'!$B$27:$M$27</c:f>
              <c:numCache>
                <c:formatCode>General</c:formatCode>
                <c:ptCount val="12"/>
                <c:pt idx="0">
                  <c:v>1970</c:v>
                </c:pt>
                <c:pt idx="1">
                  <c:v>1970</c:v>
                </c:pt>
                <c:pt idx="2">
                  <c:v>1970</c:v>
                </c:pt>
                <c:pt idx="3">
                  <c:v>2200</c:v>
                </c:pt>
                <c:pt idx="4">
                  <c:v>2420</c:v>
                </c:pt>
                <c:pt idx="5">
                  <c:v>2420</c:v>
                </c:pt>
                <c:pt idx="6">
                  <c:v>2270</c:v>
                </c:pt>
                <c:pt idx="7">
                  <c:v>1970</c:v>
                </c:pt>
                <c:pt idx="8">
                  <c:v>1970</c:v>
                </c:pt>
                <c:pt idx="9">
                  <c:v>1970</c:v>
                </c:pt>
                <c:pt idx="10">
                  <c:v>1970</c:v>
                </c:pt>
                <c:pt idx="11">
                  <c:v>1970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C9-4752-95C9-ADBDBE9026D6}"/>
            </c:ext>
          </c:extLst>
        </c:ser>
        <c:ser>
          <c:idx val="3"/>
          <c:order val="4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Storages'!$B$26:$M$26</c:f>
              <c:numCache>
                <c:formatCode>General</c:formatCode>
                <c:ptCount val="12"/>
                <c:pt idx="0">
                  <c:v>2040</c:v>
                </c:pt>
                <c:pt idx="1">
                  <c:v>2230</c:v>
                </c:pt>
                <c:pt idx="2">
                  <c:v>2420</c:v>
                </c:pt>
                <c:pt idx="3">
                  <c:v>2420</c:v>
                </c:pt>
                <c:pt idx="4">
                  <c:v>2420</c:v>
                </c:pt>
                <c:pt idx="5">
                  <c:v>2420</c:v>
                </c:pt>
                <c:pt idx="6">
                  <c:v>2270</c:v>
                </c:pt>
                <c:pt idx="7">
                  <c:v>1970</c:v>
                </c:pt>
                <c:pt idx="8">
                  <c:v>1970</c:v>
                </c:pt>
                <c:pt idx="9">
                  <c:v>1970</c:v>
                </c:pt>
                <c:pt idx="10">
                  <c:v>1970</c:v>
                </c:pt>
                <c:pt idx="11">
                  <c:v>1970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C9-4752-95C9-ADBDBE902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329632"/>
        <c:axId val="476330024"/>
      </c:lineChart>
      <c:catAx>
        <c:axId val="476328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924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76329240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814814814814815E-2"/>
              <c:y val="0.3764944421787913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8848"/>
        <c:crosses val="autoZero"/>
        <c:crossBetween val="between"/>
        <c:majorUnit val="250"/>
      </c:valAx>
      <c:catAx>
        <c:axId val="476329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76330024"/>
        <c:crosses val="autoZero"/>
        <c:auto val="0"/>
        <c:lblAlgn val="ctr"/>
        <c:lblOffset val="100"/>
        <c:noMultiLvlLbl val="0"/>
      </c:catAx>
      <c:valAx>
        <c:axId val="476330024"/>
        <c:scaling>
          <c:orientation val="minMax"/>
          <c:max val="2500"/>
          <c:min val="50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481568970545351"/>
              <c:y val="0.4203191433740108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9632"/>
        <c:crosses val="max"/>
        <c:crossBetween val="between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136265596860075"/>
          <c:y val="0.92547679891376411"/>
          <c:w val="0.37346794923529164"/>
          <c:h val="5.372618121034965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San Luis Storage</a:t>
            </a:r>
          </a:p>
        </c:rich>
      </c:tx>
      <c:layout>
        <c:manualLayout>
          <c:xMode val="edge"/>
          <c:yMode val="edge"/>
          <c:x val="0.4377292865839163"/>
          <c:y val="3.26633165829146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682560310355809E-2"/>
          <c:y val="8.5427135678391955E-2"/>
          <c:w val="0.89844504912522549"/>
          <c:h val="0.78643216080401945"/>
        </c:manualLayout>
      </c:layout>
      <c:lineChart>
        <c:grouping val="standard"/>
        <c:varyColors val="0"/>
        <c:ser>
          <c:idx val="0"/>
          <c:order val="0"/>
          <c:tx>
            <c:strRef>
              <c:f>Mar50_WY2018!$A$232</c:f>
              <c:strCache>
                <c:ptCount val="1"/>
                <c:pt idx="0">
                  <c:v>Federal Storage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Mar50_WY2018!$C$229:$N$229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Mar50_WY2018!$C$232:$N$232</c:f>
              <c:numCache>
                <c:formatCode>#,##0</c:formatCode>
                <c:ptCount val="12"/>
                <c:pt idx="0">
                  <c:v>902</c:v>
                </c:pt>
                <c:pt idx="1">
                  <c:v>802</c:v>
                </c:pt>
                <c:pt idx="2">
                  <c:v>627</c:v>
                </c:pt>
                <c:pt idx="3">
                  <c:v>359</c:v>
                </c:pt>
                <c:pt idx="4">
                  <c:v>127</c:v>
                </c:pt>
                <c:pt idx="5">
                  <c:v>31</c:v>
                </c:pt>
                <c:pt idx="6">
                  <c:v>105</c:v>
                </c:pt>
                <c:pt idx="7">
                  <c:v>237</c:v>
                </c:pt>
                <c:pt idx="8">
                  <c:v>432</c:v>
                </c:pt>
                <c:pt idx="9">
                  <c:v>653</c:v>
                </c:pt>
                <c:pt idx="10">
                  <c:v>806</c:v>
                </c:pt>
                <c:pt idx="11">
                  <c:v>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AA-4C6E-AD31-EEA74F9FB733}"/>
            </c:ext>
          </c:extLst>
        </c:ser>
        <c:ser>
          <c:idx val="1"/>
          <c:order val="1"/>
          <c:tx>
            <c:strRef>
              <c:f>Mar50_WY2018!$A$234</c:f>
              <c:strCache>
                <c:ptCount val="1"/>
                <c:pt idx="0">
                  <c:v>State Storage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Mar50_WY2018!$C$229:$N$229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Mar50_WY2018!$C$234:$N$234</c:f>
              <c:numCache>
                <c:formatCode>#,##0</c:formatCode>
                <c:ptCount val="12"/>
                <c:pt idx="0">
                  <c:v>806</c:v>
                </c:pt>
                <c:pt idx="1">
                  <c:v>736</c:v>
                </c:pt>
                <c:pt idx="2">
                  <c:v>663</c:v>
                </c:pt>
                <c:pt idx="3">
                  <c:v>604</c:v>
                </c:pt>
                <c:pt idx="4">
                  <c:v>545</c:v>
                </c:pt>
                <c:pt idx="5">
                  <c:v>474</c:v>
                </c:pt>
                <c:pt idx="6">
                  <c:v>528</c:v>
                </c:pt>
                <c:pt idx="7">
                  <c:v>632</c:v>
                </c:pt>
                <c:pt idx="8">
                  <c:v>790</c:v>
                </c:pt>
                <c:pt idx="9">
                  <c:v>999</c:v>
                </c:pt>
                <c:pt idx="10">
                  <c:v>1025</c:v>
                </c:pt>
                <c:pt idx="11">
                  <c:v>1095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AA-4C6E-AD31-EEA74F9FB733}"/>
            </c:ext>
          </c:extLst>
        </c:ser>
        <c:ser>
          <c:idx val="2"/>
          <c:order val="2"/>
          <c:tx>
            <c:strRef>
              <c:f>Mar50_WY2018!$A$235</c:f>
              <c:strCache>
                <c:ptCount val="1"/>
                <c:pt idx="0">
                  <c:v>Total Storage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Mar50_WY2018!$C$229:$N$229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Mar50_WY2018!$C$235:$N$235</c:f>
              <c:numCache>
                <c:formatCode>#,##0</c:formatCode>
                <c:ptCount val="12"/>
                <c:pt idx="0">
                  <c:v>1708</c:v>
                </c:pt>
                <c:pt idx="1">
                  <c:v>1538</c:v>
                </c:pt>
                <c:pt idx="2">
                  <c:v>1290</c:v>
                </c:pt>
                <c:pt idx="3">
                  <c:v>963</c:v>
                </c:pt>
                <c:pt idx="4">
                  <c:v>672</c:v>
                </c:pt>
                <c:pt idx="5">
                  <c:v>505</c:v>
                </c:pt>
                <c:pt idx="6">
                  <c:v>633</c:v>
                </c:pt>
                <c:pt idx="7">
                  <c:v>869</c:v>
                </c:pt>
                <c:pt idx="8">
                  <c:v>1222</c:v>
                </c:pt>
                <c:pt idx="9">
                  <c:v>1652</c:v>
                </c:pt>
                <c:pt idx="10">
                  <c:v>1831</c:v>
                </c:pt>
                <c:pt idx="11">
                  <c:v>2011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AA-4C6E-AD31-EEA74F9FB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217232"/>
        <c:axId val="471217624"/>
      </c:lineChart>
      <c:dateAx>
        <c:axId val="471217232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1217624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4712176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(TAF)</a:t>
                </a:r>
              </a:p>
            </c:rich>
          </c:tx>
          <c:layout>
            <c:manualLayout>
              <c:xMode val="edge"/>
              <c:yMode val="edge"/>
              <c:x val="1.3736279305434492E-2"/>
              <c:y val="0.3316580276711643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121723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13</xdr:row>
      <xdr:rowOff>45720</xdr:rowOff>
    </xdr:from>
    <xdr:to>
      <xdr:col>13</xdr:col>
      <xdr:colOff>281940</xdr:colOff>
      <xdr:row>33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510540</xdr:colOff>
      <xdr:row>47</xdr:row>
      <xdr:rowOff>38100</xdr:rowOff>
    </xdr:from>
    <xdr:to>
      <xdr:col>13</xdr:col>
      <xdr:colOff>182880</xdr:colOff>
      <xdr:row>68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480060</xdr:colOff>
      <xdr:row>84</xdr:row>
      <xdr:rowOff>22860</xdr:rowOff>
    </xdr:from>
    <xdr:to>
      <xdr:col>13</xdr:col>
      <xdr:colOff>312420</xdr:colOff>
      <xdr:row>109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312420</xdr:colOff>
      <xdr:row>122</xdr:row>
      <xdr:rowOff>0</xdr:rowOff>
    </xdr:from>
    <xdr:to>
      <xdr:col>12</xdr:col>
      <xdr:colOff>716280</xdr:colOff>
      <xdr:row>145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30480</xdr:colOff>
      <xdr:row>160</xdr:row>
      <xdr:rowOff>68580</xdr:rowOff>
    </xdr:from>
    <xdr:to>
      <xdr:col>13</xdr:col>
      <xdr:colOff>594360</xdr:colOff>
      <xdr:row>185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30480</xdr:colOff>
      <xdr:row>202</xdr:row>
      <xdr:rowOff>45720</xdr:rowOff>
    </xdr:from>
    <xdr:to>
      <xdr:col>13</xdr:col>
      <xdr:colOff>617220</xdr:colOff>
      <xdr:row>227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38100</xdr:colOff>
      <xdr:row>237</xdr:row>
      <xdr:rowOff>60960</xdr:rowOff>
    </xdr:from>
    <xdr:to>
      <xdr:col>13</xdr:col>
      <xdr:colOff>754380</xdr:colOff>
      <xdr:row>260</xdr:row>
      <xdr:rowOff>129540</xdr:rowOff>
    </xdr:to>
    <xdr:graphicFrame macro="">
      <xdr:nvGraphicFramePr>
        <xdr:cNvPr id="8" name="Chart 1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0</xdr:row>
          <xdr:rowOff>0</xdr:rowOff>
        </xdr:from>
        <xdr:to>
          <xdr:col>3</xdr:col>
          <xdr:colOff>295275</xdr:colOff>
          <xdr:row>1</xdr:row>
          <xdr:rowOff>123825</xdr:rowOff>
        </xdr:to>
        <xdr:sp macro="" textlink="">
          <xdr:nvSpPr>
            <xdr:cNvPr id="1025" name="ComboBox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466725</xdr:colOff>
          <xdr:row>0</xdr:row>
          <xdr:rowOff>47625</xdr:rowOff>
        </xdr:from>
        <xdr:to>
          <xdr:col>6</xdr:col>
          <xdr:colOff>219075</xdr:colOff>
          <xdr:row>1</xdr:row>
          <xdr:rowOff>161925</xdr:rowOff>
        </xdr:to>
        <xdr:sp macro="" textlink="">
          <xdr:nvSpPr>
            <xdr:cNvPr id="1026" name="CommandButton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FORECAST\WY_18\Mar\50\Mar50_WY201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ginning Page"/>
      <sheetName val="Model Input"/>
      <sheetName val="Summary"/>
      <sheetName val="Seasonal Results"/>
      <sheetName val="Jan"/>
      <sheetName val="Feb"/>
      <sheetName val="Mar"/>
      <sheetName val="Apr"/>
      <sheetName val="May"/>
      <sheetName val="June"/>
      <sheetName val="July"/>
      <sheetName val="Aug"/>
      <sheetName val="Sep"/>
      <sheetName val="Oct"/>
      <sheetName val="Nov"/>
      <sheetName val="Dec"/>
      <sheetName val="CALCS"/>
      <sheetName val="Target Storages"/>
      <sheetName val="Lookup"/>
      <sheetName val="Power"/>
      <sheetName val="Evaporation Coefs"/>
      <sheetName val="Res_Area_Tbl"/>
      <sheetName val="Folsom ACT"/>
      <sheetName val="New Melones ACT"/>
      <sheetName val="Oroville ACT"/>
      <sheetName val="Shasta ACT"/>
      <sheetName val="Trinity ACT"/>
      <sheetName val="Whiskey ACT"/>
      <sheetName val="SanLuis ACT"/>
      <sheetName val="Sac AFRP"/>
      <sheetName val="Amer AFRP"/>
      <sheetName val="ClCr AFRP"/>
      <sheetName val="CALSIM Date"/>
      <sheetName val="Sheet1"/>
    </sheetNames>
    <sheetDataSet>
      <sheetData sheetId="0">
        <row r="6">
          <cell r="C6">
            <v>206</v>
          </cell>
        </row>
      </sheetData>
      <sheetData sheetId="1" refreshError="1"/>
      <sheetData sheetId="2" refreshError="1"/>
      <sheetData sheetId="3">
        <row r="3">
          <cell r="C3">
            <v>43160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F9">
            <v>117</v>
          </cell>
        </row>
      </sheetData>
      <sheetData sheetId="17">
        <row r="22">
          <cell r="B22">
            <v>3412</v>
          </cell>
          <cell r="C22">
            <v>3852</v>
          </cell>
          <cell r="D22">
            <v>4322</v>
          </cell>
          <cell r="E22">
            <v>4552</v>
          </cell>
          <cell r="F22">
            <v>4552</v>
          </cell>
          <cell r="G22">
            <v>4552</v>
          </cell>
          <cell r="H22">
            <v>4552</v>
          </cell>
          <cell r="I22">
            <v>3882</v>
          </cell>
          <cell r="J22">
            <v>3252</v>
          </cell>
          <cell r="K22">
            <v>3252</v>
          </cell>
          <cell r="L22">
            <v>3252</v>
          </cell>
          <cell r="M22">
            <v>3252</v>
          </cell>
        </row>
        <row r="23">
          <cell r="B23">
            <v>4552</v>
          </cell>
          <cell r="C23">
            <v>4552</v>
          </cell>
          <cell r="D23">
            <v>4552</v>
          </cell>
          <cell r="E23">
            <v>4552</v>
          </cell>
          <cell r="F23">
            <v>4552</v>
          </cell>
          <cell r="G23">
            <v>4552</v>
          </cell>
          <cell r="H23">
            <v>4552</v>
          </cell>
          <cell r="I23">
            <v>3882</v>
          </cell>
          <cell r="J23">
            <v>3252</v>
          </cell>
          <cell r="K23">
            <v>3252</v>
          </cell>
          <cell r="L23">
            <v>3872</v>
          </cell>
          <cell r="M23">
            <v>4252</v>
          </cell>
        </row>
        <row r="24">
          <cell r="B24">
            <v>2788</v>
          </cell>
          <cell r="C24">
            <v>3083</v>
          </cell>
          <cell r="D24">
            <v>3388</v>
          </cell>
          <cell r="E24">
            <v>3538</v>
          </cell>
          <cell r="F24">
            <v>3538</v>
          </cell>
          <cell r="G24">
            <v>3538</v>
          </cell>
          <cell r="H24">
            <v>3148</v>
          </cell>
          <cell r="I24">
            <v>2788</v>
          </cell>
          <cell r="J24">
            <v>2788</v>
          </cell>
          <cell r="K24">
            <v>2788</v>
          </cell>
          <cell r="L24">
            <v>2788</v>
          </cell>
          <cell r="M24">
            <v>2788</v>
          </cell>
        </row>
        <row r="25">
          <cell r="B25">
            <v>3163</v>
          </cell>
          <cell r="C25">
            <v>3458</v>
          </cell>
          <cell r="D25">
            <v>3538</v>
          </cell>
          <cell r="E25">
            <v>3538</v>
          </cell>
          <cell r="F25">
            <v>3538</v>
          </cell>
          <cell r="G25">
            <v>3538</v>
          </cell>
          <cell r="H25">
            <v>3343</v>
          </cell>
          <cell r="I25">
            <v>3163</v>
          </cell>
          <cell r="J25">
            <v>3163</v>
          </cell>
          <cell r="K25">
            <v>3163</v>
          </cell>
          <cell r="L25">
            <v>3163</v>
          </cell>
          <cell r="M25">
            <v>3163</v>
          </cell>
        </row>
        <row r="26">
          <cell r="B26">
            <v>2040</v>
          </cell>
          <cell r="C26">
            <v>2230</v>
          </cell>
          <cell r="D26">
            <v>2420</v>
          </cell>
          <cell r="E26">
            <v>2420</v>
          </cell>
          <cell r="F26">
            <v>2420</v>
          </cell>
          <cell r="G26">
            <v>2420</v>
          </cell>
          <cell r="H26">
            <v>2270</v>
          </cell>
          <cell r="I26">
            <v>1970</v>
          </cell>
          <cell r="J26">
            <v>1970</v>
          </cell>
          <cell r="K26">
            <v>1970</v>
          </cell>
          <cell r="L26">
            <v>1970</v>
          </cell>
          <cell r="M26">
            <v>1970</v>
          </cell>
        </row>
        <row r="27">
          <cell r="B27">
            <v>1970</v>
          </cell>
          <cell r="C27">
            <v>1970</v>
          </cell>
          <cell r="D27">
            <v>1970</v>
          </cell>
          <cell r="E27">
            <v>2200</v>
          </cell>
          <cell r="F27">
            <v>2420</v>
          </cell>
          <cell r="G27">
            <v>2420</v>
          </cell>
          <cell r="H27">
            <v>2270</v>
          </cell>
          <cell r="I27">
            <v>1970</v>
          </cell>
          <cell r="J27">
            <v>1970</v>
          </cell>
          <cell r="K27">
            <v>1970</v>
          </cell>
          <cell r="L27">
            <v>1970</v>
          </cell>
          <cell r="M27">
            <v>1970</v>
          </cell>
        </row>
        <row r="28">
          <cell r="B28">
            <v>675</v>
          </cell>
          <cell r="C28">
            <v>805</v>
          </cell>
          <cell r="D28">
            <v>975</v>
          </cell>
          <cell r="E28">
            <v>975</v>
          </cell>
          <cell r="F28">
            <v>975</v>
          </cell>
          <cell r="G28">
            <v>975</v>
          </cell>
          <cell r="H28">
            <v>975</v>
          </cell>
          <cell r="I28">
            <v>700</v>
          </cell>
          <cell r="J28">
            <v>575</v>
          </cell>
          <cell r="K28">
            <v>575</v>
          </cell>
          <cell r="L28">
            <v>575</v>
          </cell>
          <cell r="M28">
            <v>575</v>
          </cell>
        </row>
        <row r="29">
          <cell r="B29">
            <v>565</v>
          </cell>
          <cell r="C29">
            <v>805</v>
          </cell>
          <cell r="D29">
            <v>975</v>
          </cell>
          <cell r="E29">
            <v>975</v>
          </cell>
          <cell r="F29">
            <v>975</v>
          </cell>
          <cell r="G29">
            <v>975</v>
          </cell>
          <cell r="H29">
            <v>975</v>
          </cell>
          <cell r="I29">
            <v>605</v>
          </cell>
          <cell r="J29">
            <v>305</v>
          </cell>
          <cell r="K29">
            <v>305</v>
          </cell>
          <cell r="L29">
            <v>305</v>
          </cell>
          <cell r="M29">
            <v>305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BB793-3C87-4C8D-8B04-8DFF7F937B66}">
  <sheetPr codeName="Sheet1">
    <pageSetUpPr fitToPage="1"/>
  </sheetPr>
  <dimension ref="A1:AA293"/>
  <sheetViews>
    <sheetView tabSelected="1" zoomScale="90" zoomScaleNormal="90" zoomScaleSheetLayoutView="70" workbookViewId="0">
      <pane ySplit="2" topLeftCell="A21" activePane="bottomLeft" state="frozen"/>
      <selection activeCell="B26" sqref="B26"/>
      <selection pane="bottomLeft" activeCell="K44" sqref="K44"/>
    </sheetView>
  </sheetViews>
  <sheetFormatPr defaultColWidth="8.85546875" defaultRowHeight="12.75" x14ac:dyDescent="0.2"/>
  <cols>
    <col min="1" max="1" width="24" style="2" customWidth="1"/>
    <col min="2" max="2" width="11.42578125" style="2" customWidth="1"/>
    <col min="3" max="14" width="14.5703125" style="2" bestFit="1" customWidth="1"/>
    <col min="15" max="16384" width="8.85546875" style="2"/>
  </cols>
  <sheetData>
    <row r="1" spans="1:27" ht="15" customHeight="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5.75" x14ac:dyDescent="0.25">
      <c r="A3" s="1"/>
      <c r="B3" s="3"/>
      <c r="C3" s="4" t="s">
        <v>12</v>
      </c>
      <c r="D3" s="4" t="s">
        <v>14</v>
      </c>
      <c r="E3" s="4" t="s">
        <v>16</v>
      </c>
      <c r="F3" s="4" t="s">
        <v>18</v>
      </c>
      <c r="G3" s="4" t="s">
        <v>92</v>
      </c>
      <c r="H3" s="4" t="s">
        <v>22</v>
      </c>
      <c r="I3" s="4" t="s">
        <v>23</v>
      </c>
      <c r="J3" s="4" t="s">
        <v>24</v>
      </c>
      <c r="K3" s="4" t="s">
        <v>25</v>
      </c>
      <c r="L3" s="4" t="s">
        <v>26</v>
      </c>
      <c r="M3" s="4" t="s">
        <v>8</v>
      </c>
      <c r="N3" s="4" t="s">
        <v>10</v>
      </c>
      <c r="O3" s="1"/>
      <c r="AA3" s="2" t="s">
        <v>2</v>
      </c>
    </row>
    <row r="4" spans="1:27" ht="15.75" x14ac:dyDescent="0.25">
      <c r="A4" s="5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AA4" s="2" t="s">
        <v>4</v>
      </c>
    </row>
    <row r="5" spans="1:27" ht="15" x14ac:dyDescent="0.25">
      <c r="A5" s="3" t="s">
        <v>5</v>
      </c>
      <c r="B5" s="1"/>
      <c r="C5" s="1">
        <v>117</v>
      </c>
      <c r="D5" s="1">
        <v>166</v>
      </c>
      <c r="E5" s="1">
        <v>103</v>
      </c>
      <c r="F5" s="1">
        <v>35</v>
      </c>
      <c r="G5" s="1">
        <v>12</v>
      </c>
      <c r="H5" s="1">
        <v>7</v>
      </c>
      <c r="I5" s="1">
        <v>5</v>
      </c>
      <c r="J5" s="1">
        <v>14</v>
      </c>
      <c r="K5" s="1">
        <v>32</v>
      </c>
      <c r="L5" s="1">
        <v>58</v>
      </c>
      <c r="M5" s="1">
        <v>85</v>
      </c>
      <c r="N5" s="1">
        <v>130</v>
      </c>
      <c r="O5" s="1"/>
      <c r="AA5" s="2" t="s">
        <v>6</v>
      </c>
    </row>
    <row r="6" spans="1:27" ht="15" x14ac:dyDescent="0.25">
      <c r="A6" s="3" t="s">
        <v>7</v>
      </c>
      <c r="B6" s="1"/>
      <c r="C6" s="6">
        <v>2.5</v>
      </c>
      <c r="D6" s="6">
        <v>5.0999999999999996</v>
      </c>
      <c r="E6" s="6">
        <v>6.9</v>
      </c>
      <c r="F6" s="6">
        <v>7.6</v>
      </c>
      <c r="G6" s="6">
        <v>9.6</v>
      </c>
      <c r="H6" s="6">
        <v>8.6</v>
      </c>
      <c r="I6" s="6">
        <v>6.7</v>
      </c>
      <c r="J6" s="6">
        <v>3.2</v>
      </c>
      <c r="K6" s="6">
        <v>1.5</v>
      </c>
      <c r="L6" s="6">
        <v>1</v>
      </c>
      <c r="M6" s="6">
        <v>1.7</v>
      </c>
      <c r="N6" s="6">
        <v>1.5</v>
      </c>
      <c r="O6" s="1"/>
      <c r="AA6" s="2" t="s">
        <v>8</v>
      </c>
    </row>
    <row r="7" spans="1:27" ht="15" x14ac:dyDescent="0.25">
      <c r="A7" s="3" t="s">
        <v>9</v>
      </c>
      <c r="B7" s="1"/>
      <c r="C7" s="6">
        <v>53</v>
      </c>
      <c r="D7" s="6">
        <v>72</v>
      </c>
      <c r="E7" s="6">
        <v>203.7</v>
      </c>
      <c r="F7" s="6">
        <v>117.6</v>
      </c>
      <c r="G7" s="6">
        <v>111.3</v>
      </c>
      <c r="H7" s="6">
        <v>137.19999999999999</v>
      </c>
      <c r="I7" s="6">
        <v>127.7</v>
      </c>
      <c r="J7" s="6">
        <v>48.9</v>
      </c>
      <c r="K7" s="6">
        <v>43.2</v>
      </c>
      <c r="L7" s="6">
        <v>27</v>
      </c>
      <c r="M7" s="6">
        <v>18.7</v>
      </c>
      <c r="N7" s="6">
        <v>18.2</v>
      </c>
      <c r="O7" s="1"/>
      <c r="AA7" s="2" t="s">
        <v>10</v>
      </c>
    </row>
    <row r="8" spans="1:27" ht="15" x14ac:dyDescent="0.25">
      <c r="A8" s="3" t="s">
        <v>11</v>
      </c>
      <c r="B8" s="1"/>
      <c r="C8" s="7">
        <v>300</v>
      </c>
      <c r="D8" s="7">
        <v>600</v>
      </c>
      <c r="E8" s="7">
        <v>1498</v>
      </c>
      <c r="F8" s="7">
        <v>783</v>
      </c>
      <c r="G8" s="7">
        <v>450</v>
      </c>
      <c r="H8" s="7">
        <v>857</v>
      </c>
      <c r="I8" s="7">
        <v>870</v>
      </c>
      <c r="J8" s="7">
        <v>373</v>
      </c>
      <c r="K8" s="7">
        <v>300</v>
      </c>
      <c r="L8" s="7">
        <v>300</v>
      </c>
      <c r="M8" s="7">
        <v>300</v>
      </c>
      <c r="N8" s="7">
        <v>300</v>
      </c>
      <c r="O8" s="1"/>
      <c r="AA8" s="2" t="s">
        <v>12</v>
      </c>
    </row>
    <row r="9" spans="1:27" ht="15" x14ac:dyDescent="0.25">
      <c r="A9" s="3" t="s">
        <v>13</v>
      </c>
      <c r="B9" s="1"/>
      <c r="C9" s="6">
        <v>18.399999999999999</v>
      </c>
      <c r="D9" s="6">
        <v>35.700000000000003</v>
      </c>
      <c r="E9" s="6">
        <v>179.7</v>
      </c>
      <c r="F9" s="6">
        <v>46.6</v>
      </c>
      <c r="G9" s="6">
        <v>27.7</v>
      </c>
      <c r="H9" s="6">
        <v>52.7</v>
      </c>
      <c r="I9" s="6">
        <v>51.8</v>
      </c>
      <c r="J9" s="6">
        <v>22.9</v>
      </c>
      <c r="K9" s="6">
        <v>17.8</v>
      </c>
      <c r="L9" s="6">
        <v>18.399999999999999</v>
      </c>
      <c r="M9" s="6">
        <v>18.399999999999999</v>
      </c>
      <c r="N9" s="6">
        <v>16.7</v>
      </c>
      <c r="O9" s="1"/>
      <c r="AA9" s="2" t="s">
        <v>14</v>
      </c>
    </row>
    <row r="10" spans="1:27" ht="15" x14ac:dyDescent="0.25">
      <c r="A10" s="3" t="s">
        <v>15</v>
      </c>
      <c r="B10" s="1"/>
      <c r="C10" s="6">
        <v>34.6</v>
      </c>
      <c r="D10" s="6">
        <v>36.299999999999997</v>
      </c>
      <c r="E10" s="6">
        <v>23.9</v>
      </c>
      <c r="F10" s="6">
        <v>71</v>
      </c>
      <c r="G10" s="6">
        <v>83.7</v>
      </c>
      <c r="H10" s="6">
        <v>84.5</v>
      </c>
      <c r="I10" s="6">
        <v>75.900000000000006</v>
      </c>
      <c r="J10" s="6">
        <v>25.9</v>
      </c>
      <c r="K10" s="6">
        <v>25.3</v>
      </c>
      <c r="L10" s="6">
        <v>8.6</v>
      </c>
      <c r="M10" s="6">
        <v>0.2</v>
      </c>
      <c r="N10" s="6">
        <v>1.5</v>
      </c>
      <c r="O10" s="6"/>
      <c r="AA10" s="2" t="s">
        <v>16</v>
      </c>
    </row>
    <row r="11" spans="1:27" ht="15" x14ac:dyDescent="0.25">
      <c r="A11" s="3" t="s">
        <v>17</v>
      </c>
      <c r="B11" s="1">
        <v>1787</v>
      </c>
      <c r="C11" s="6">
        <v>1848.4</v>
      </c>
      <c r="D11" s="6">
        <v>1937.3</v>
      </c>
      <c r="E11" s="6">
        <v>1829.8</v>
      </c>
      <c r="F11" s="6">
        <v>1739.6</v>
      </c>
      <c r="G11" s="6">
        <v>1630.6</v>
      </c>
      <c r="H11" s="6">
        <v>1491.8</v>
      </c>
      <c r="I11" s="6">
        <v>1362.4</v>
      </c>
      <c r="J11" s="6">
        <v>1324.4</v>
      </c>
      <c r="K11" s="6">
        <v>1311.6</v>
      </c>
      <c r="L11" s="6">
        <v>1341.7</v>
      </c>
      <c r="M11" s="6">
        <v>1406.3</v>
      </c>
      <c r="N11" s="6">
        <v>1516.7</v>
      </c>
      <c r="O11" s="6"/>
      <c r="AA11" s="2" t="s">
        <v>18</v>
      </c>
    </row>
    <row r="12" spans="1:27" ht="15" x14ac:dyDescent="0.25">
      <c r="A12" s="3" t="s">
        <v>19</v>
      </c>
      <c r="B12" s="1"/>
      <c r="C12" s="7">
        <v>2330</v>
      </c>
      <c r="D12" s="7">
        <v>2337</v>
      </c>
      <c r="E12" s="7">
        <v>2329</v>
      </c>
      <c r="F12" s="7">
        <v>2322</v>
      </c>
      <c r="G12" s="7">
        <v>2314</v>
      </c>
      <c r="H12" s="7">
        <v>2302</v>
      </c>
      <c r="I12" s="7">
        <v>2291</v>
      </c>
      <c r="J12" s="7">
        <v>2288</v>
      </c>
      <c r="K12" s="7">
        <v>2287</v>
      </c>
      <c r="L12" s="7">
        <v>2289</v>
      </c>
      <c r="M12" s="7">
        <v>2295</v>
      </c>
      <c r="N12" s="7">
        <v>2305</v>
      </c>
      <c r="O12" s="1"/>
      <c r="AA12" s="2" t="s">
        <v>20</v>
      </c>
    </row>
    <row r="13" spans="1:27" ht="15" x14ac:dyDescent="0.25">
      <c r="A13" s="3" t="s">
        <v>21</v>
      </c>
      <c r="B13" s="1"/>
      <c r="C13" s="7">
        <v>12801</v>
      </c>
      <c r="D13" s="7">
        <v>13142</v>
      </c>
      <c r="E13" s="7">
        <v>13629</v>
      </c>
      <c r="F13" s="7">
        <v>13074</v>
      </c>
      <c r="G13" s="7">
        <v>12598</v>
      </c>
      <c r="H13" s="7">
        <v>12065</v>
      </c>
      <c r="I13" s="7">
        <v>11287</v>
      </c>
      <c r="J13" s="7">
        <v>10596</v>
      </c>
      <c r="K13" s="7">
        <v>10411</v>
      </c>
      <c r="L13" s="7">
        <v>10350</v>
      </c>
      <c r="M13" s="7">
        <v>10472</v>
      </c>
      <c r="N13" s="7">
        <v>10844</v>
      </c>
      <c r="O13" s="1"/>
      <c r="AA13" s="2" t="s">
        <v>22</v>
      </c>
    </row>
    <row r="14" spans="1:27" ht="15" x14ac:dyDescent="0.25">
      <c r="A14" s="1"/>
      <c r="B14" s="1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1"/>
      <c r="AA14" s="2" t="s">
        <v>23</v>
      </c>
    </row>
    <row r="15" spans="1:27" ht="15" x14ac:dyDescent="0.25">
      <c r="A15" s="1"/>
      <c r="B15" s="1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1"/>
      <c r="AA15" s="2" t="s">
        <v>24</v>
      </c>
    </row>
    <row r="16" spans="1:27" ht="15" x14ac:dyDescent="0.25">
      <c r="A16" s="1"/>
      <c r="B16" s="1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"/>
      <c r="AA16" s="2" t="s">
        <v>25</v>
      </c>
    </row>
    <row r="17" spans="1:27" ht="15" x14ac:dyDescent="0.25">
      <c r="A17" s="1"/>
      <c r="B17" s="1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1"/>
      <c r="AA17" s="2" t="s">
        <v>26</v>
      </c>
    </row>
    <row r="18" spans="1:27" ht="15" x14ac:dyDescent="0.25">
      <c r="A18" s="1"/>
      <c r="B18" s="1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"/>
    </row>
    <row r="19" spans="1:27" ht="15" x14ac:dyDescent="0.25">
      <c r="A19" s="1"/>
      <c r="B19" s="1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1"/>
    </row>
    <row r="20" spans="1:27" ht="15" x14ac:dyDescent="0.25">
      <c r="A20" s="1"/>
      <c r="B20" s="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"/>
    </row>
    <row r="21" spans="1:27" ht="15" x14ac:dyDescent="0.25">
      <c r="A21" s="1"/>
      <c r="B21" s="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1"/>
    </row>
    <row r="22" spans="1:27" ht="15" x14ac:dyDescent="0.25">
      <c r="A22" s="1"/>
      <c r="B22" s="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1"/>
    </row>
    <row r="23" spans="1:27" ht="15" x14ac:dyDescent="0.25">
      <c r="A23" s="1"/>
      <c r="B23" s="1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1"/>
    </row>
    <row r="24" spans="1:27" ht="15" x14ac:dyDescent="0.25">
      <c r="A24" s="1"/>
      <c r="B24" s="1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1"/>
    </row>
    <row r="25" spans="1:27" ht="12.75" customHeight="1" x14ac:dyDescent="0.25">
      <c r="A25" s="1"/>
      <c r="B25" s="1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1"/>
    </row>
    <row r="26" spans="1:27" ht="15" x14ac:dyDescent="0.25">
      <c r="A26" s="1"/>
      <c r="B26" s="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1"/>
    </row>
    <row r="27" spans="1:27" ht="15" x14ac:dyDescent="0.25">
      <c r="A27" s="1"/>
      <c r="B27" s="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1"/>
    </row>
    <row r="28" spans="1:27" ht="15" x14ac:dyDescent="0.25">
      <c r="A28" s="1"/>
      <c r="B28" s="1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1"/>
    </row>
    <row r="29" spans="1:27" ht="15" x14ac:dyDescent="0.25">
      <c r="A29" s="1"/>
      <c r="B29" s="1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1"/>
    </row>
    <row r="30" spans="1:27" ht="15" x14ac:dyDescent="0.25">
      <c r="A30" s="1"/>
      <c r="B30" s="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1"/>
    </row>
    <row r="31" spans="1:27" ht="15" x14ac:dyDescent="0.25">
      <c r="A31" s="1"/>
      <c r="B31" s="1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1"/>
    </row>
    <row r="32" spans="1:27" ht="15" x14ac:dyDescent="0.25">
      <c r="A32" s="1"/>
      <c r="B32" s="1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1"/>
    </row>
    <row r="33" spans="1:15" ht="15.75" x14ac:dyDescent="0.25">
      <c r="A33" s="1"/>
      <c r="B33" s="1"/>
      <c r="C33" s="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.75" x14ac:dyDescent="0.25">
      <c r="A34" s="1"/>
      <c r="B34" s="1"/>
      <c r="C34" s="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.75" x14ac:dyDescent="0.25">
      <c r="A35" s="1"/>
      <c r="B35" s="1"/>
      <c r="C35" s="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.75" x14ac:dyDescent="0.25">
      <c r="A36" s="1"/>
      <c r="B36" s="9"/>
      <c r="C36" s="4" t="s">
        <v>12</v>
      </c>
      <c r="D36" s="4" t="s">
        <v>14</v>
      </c>
      <c r="E36" s="4" t="s">
        <v>16</v>
      </c>
      <c r="F36" s="4" t="s">
        <v>18</v>
      </c>
      <c r="G36" s="4" t="s">
        <v>92</v>
      </c>
      <c r="H36" s="4" t="s">
        <v>22</v>
      </c>
      <c r="I36" s="4" t="s">
        <v>23</v>
      </c>
      <c r="J36" s="4" t="s">
        <v>24</v>
      </c>
      <c r="K36" s="4" t="s">
        <v>25</v>
      </c>
      <c r="L36" s="4" t="s">
        <v>26</v>
      </c>
      <c r="M36" s="4" t="s">
        <v>8</v>
      </c>
      <c r="N36" s="4" t="s">
        <v>10</v>
      </c>
      <c r="O36" s="1"/>
    </row>
    <row r="37" spans="1:15" ht="15.75" x14ac:dyDescent="0.25">
      <c r="A37" s="5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0" t="s">
        <v>5</v>
      </c>
      <c r="B38" s="1"/>
      <c r="C38" s="1">
        <v>38</v>
      </c>
      <c r="D38" s="1">
        <v>25</v>
      </c>
      <c r="E38" s="1">
        <v>16</v>
      </c>
      <c r="F38" s="1">
        <v>8</v>
      </c>
      <c r="G38" s="1">
        <v>3</v>
      </c>
      <c r="H38" s="1">
        <v>2</v>
      </c>
      <c r="I38" s="1">
        <v>2</v>
      </c>
      <c r="J38" s="1">
        <v>3</v>
      </c>
      <c r="K38" s="1">
        <v>7</v>
      </c>
      <c r="L38" s="1">
        <v>16</v>
      </c>
      <c r="M38" s="1">
        <v>35</v>
      </c>
      <c r="N38" s="1">
        <v>45</v>
      </c>
      <c r="O38" s="1"/>
    </row>
    <row r="39" spans="1:15" ht="15" x14ac:dyDescent="0.25">
      <c r="A39" s="10" t="s">
        <v>7</v>
      </c>
      <c r="B39" s="1"/>
      <c r="C39" s="6">
        <v>0.6</v>
      </c>
      <c r="D39" s="6">
        <v>1.1000000000000001</v>
      </c>
      <c r="E39" s="6">
        <v>1.6</v>
      </c>
      <c r="F39" s="6">
        <v>1.9</v>
      </c>
      <c r="G39" s="6">
        <v>2.5</v>
      </c>
      <c r="H39" s="6">
        <v>2.2999999999999998</v>
      </c>
      <c r="I39" s="6">
        <v>1.9</v>
      </c>
      <c r="J39" s="6">
        <v>1</v>
      </c>
      <c r="K39" s="6">
        <v>0.4</v>
      </c>
      <c r="L39" s="6">
        <v>0.3</v>
      </c>
      <c r="M39" s="6">
        <v>0.5</v>
      </c>
      <c r="N39" s="6">
        <v>0.4</v>
      </c>
      <c r="O39" s="1"/>
    </row>
    <row r="40" spans="1:15" ht="15" x14ac:dyDescent="0.25">
      <c r="A40" s="10" t="s">
        <v>9</v>
      </c>
      <c r="B40" s="1"/>
      <c r="C40" s="6">
        <v>72.3</v>
      </c>
      <c r="D40" s="6">
        <v>28</v>
      </c>
      <c r="E40" s="6">
        <v>38.299999999999997</v>
      </c>
      <c r="F40" s="6">
        <v>77.099999999999994</v>
      </c>
      <c r="G40" s="6">
        <v>84.2</v>
      </c>
      <c r="H40" s="6">
        <v>84.2</v>
      </c>
      <c r="I40" s="6">
        <v>83.9</v>
      </c>
      <c r="J40" s="6">
        <v>52.3</v>
      </c>
      <c r="K40" s="6">
        <v>31.9</v>
      </c>
      <c r="L40" s="6">
        <v>24.3</v>
      </c>
      <c r="M40" s="6">
        <v>34.799999999999997</v>
      </c>
      <c r="N40" s="6">
        <v>46.1</v>
      </c>
      <c r="O40" s="1"/>
    </row>
    <row r="41" spans="1:15" ht="15" x14ac:dyDescent="0.25">
      <c r="A41" s="10" t="s">
        <v>28</v>
      </c>
      <c r="B41" s="1"/>
      <c r="C41" s="1">
        <v>60</v>
      </c>
      <c r="D41" s="1">
        <v>15</v>
      </c>
      <c r="E41" s="1">
        <v>25</v>
      </c>
      <c r="F41" s="1">
        <v>60</v>
      </c>
      <c r="G41" s="1">
        <v>75</v>
      </c>
      <c r="H41" s="1">
        <v>75</v>
      </c>
      <c r="I41" s="1">
        <v>75</v>
      </c>
      <c r="J41" s="1">
        <v>40</v>
      </c>
      <c r="K41" s="1">
        <v>20</v>
      </c>
      <c r="L41" s="1">
        <v>12</v>
      </c>
      <c r="M41" s="1">
        <v>20</v>
      </c>
      <c r="N41" s="1">
        <v>35</v>
      </c>
      <c r="O41" s="1"/>
    </row>
    <row r="42" spans="1:15" ht="15" x14ac:dyDescent="0.25">
      <c r="A42" s="10" t="s">
        <v>29</v>
      </c>
      <c r="B42" s="1">
        <v>206</v>
      </c>
      <c r="C42" s="7">
        <v>206</v>
      </c>
      <c r="D42" s="7">
        <v>238</v>
      </c>
      <c r="E42" s="7">
        <v>238</v>
      </c>
      <c r="F42" s="7">
        <v>238</v>
      </c>
      <c r="G42" s="7">
        <v>238</v>
      </c>
      <c r="H42" s="7">
        <v>238</v>
      </c>
      <c r="I42" s="7">
        <v>230</v>
      </c>
      <c r="J42" s="7">
        <v>206</v>
      </c>
      <c r="K42" s="7">
        <v>206</v>
      </c>
      <c r="L42" s="7">
        <v>206</v>
      </c>
      <c r="M42" s="7">
        <v>206</v>
      </c>
      <c r="N42" s="7">
        <v>206</v>
      </c>
      <c r="O42" s="1"/>
    </row>
    <row r="43" spans="1:15" ht="15" x14ac:dyDescent="0.25">
      <c r="A43" s="10" t="s">
        <v>19</v>
      </c>
      <c r="B43" s="1"/>
      <c r="C43" s="1">
        <v>1199</v>
      </c>
      <c r="D43" s="1">
        <v>1209</v>
      </c>
      <c r="E43" s="1">
        <v>1209</v>
      </c>
      <c r="F43" s="1">
        <v>1209</v>
      </c>
      <c r="G43" s="1">
        <v>1209</v>
      </c>
      <c r="H43" s="1">
        <v>1209</v>
      </c>
      <c r="I43" s="1">
        <v>1207</v>
      </c>
      <c r="J43" s="1">
        <v>1199</v>
      </c>
      <c r="K43" s="1">
        <v>1199</v>
      </c>
      <c r="L43" s="1">
        <v>1199</v>
      </c>
      <c r="M43" s="1">
        <v>1199</v>
      </c>
      <c r="N43" s="1">
        <v>1199</v>
      </c>
      <c r="O43" s="6"/>
    </row>
    <row r="44" spans="1:15" ht="15" x14ac:dyDescent="0.25">
      <c r="A44" s="10" t="s">
        <v>21</v>
      </c>
      <c r="C44" s="7">
        <v>2977</v>
      </c>
      <c r="D44" s="7">
        <v>2977</v>
      </c>
      <c r="E44" s="7">
        <v>3223</v>
      </c>
      <c r="F44" s="7">
        <v>3223</v>
      </c>
      <c r="G44" s="7">
        <v>3223</v>
      </c>
      <c r="H44" s="7">
        <v>3223</v>
      </c>
      <c r="I44" s="7">
        <v>3223</v>
      </c>
      <c r="J44" s="7">
        <v>3174</v>
      </c>
      <c r="K44" s="7">
        <v>2977</v>
      </c>
      <c r="L44" s="7">
        <v>2977</v>
      </c>
      <c r="M44" s="7">
        <v>2977</v>
      </c>
      <c r="N44" s="7">
        <v>2977</v>
      </c>
      <c r="O44" s="6"/>
    </row>
    <row r="45" spans="1:15" ht="15" x14ac:dyDescent="0.25">
      <c r="A45" s="10" t="s">
        <v>30</v>
      </c>
      <c r="B45" s="1"/>
      <c r="C45" s="1">
        <v>200</v>
      </c>
      <c r="D45" s="1">
        <v>218</v>
      </c>
      <c r="E45" s="1">
        <v>216</v>
      </c>
      <c r="F45" s="1">
        <v>288</v>
      </c>
      <c r="G45" s="1">
        <v>150</v>
      </c>
      <c r="H45" s="1">
        <v>150</v>
      </c>
      <c r="I45" s="1">
        <v>150</v>
      </c>
      <c r="J45" s="1">
        <v>200</v>
      </c>
      <c r="K45" s="1">
        <v>200</v>
      </c>
      <c r="L45" s="1">
        <v>200</v>
      </c>
      <c r="M45" s="1">
        <v>240</v>
      </c>
      <c r="N45" s="1">
        <v>200</v>
      </c>
      <c r="O45" s="6"/>
    </row>
    <row r="46" spans="1:15" ht="15" x14ac:dyDescent="0.25">
      <c r="A46" s="10" t="s">
        <v>31</v>
      </c>
      <c r="B46" s="1"/>
      <c r="C46" s="6">
        <v>12.3</v>
      </c>
      <c r="D46" s="6">
        <v>13</v>
      </c>
      <c r="E46" s="6">
        <v>13.3</v>
      </c>
      <c r="F46" s="6">
        <v>17.100000000000001</v>
      </c>
      <c r="G46" s="6">
        <v>9.1999999999999993</v>
      </c>
      <c r="H46" s="6">
        <v>9.1999999999999993</v>
      </c>
      <c r="I46" s="6">
        <v>8.9</v>
      </c>
      <c r="J46" s="6">
        <v>12.3</v>
      </c>
      <c r="K46" s="6">
        <v>11.9</v>
      </c>
      <c r="L46" s="6">
        <v>12.3</v>
      </c>
      <c r="M46" s="6">
        <v>14.8</v>
      </c>
      <c r="N46" s="6">
        <v>11.1</v>
      </c>
      <c r="O46" s="1"/>
    </row>
    <row r="47" spans="1:15" ht="15" x14ac:dyDescent="0.25">
      <c r="A47" s="10" t="s">
        <v>32</v>
      </c>
      <c r="B47" s="1"/>
      <c r="C47" s="1">
        <v>200</v>
      </c>
      <c r="D47" s="1">
        <v>200</v>
      </c>
      <c r="E47" s="1">
        <v>200</v>
      </c>
      <c r="F47" s="1">
        <v>200</v>
      </c>
      <c r="G47" s="1">
        <v>200</v>
      </c>
      <c r="H47" s="1">
        <v>150</v>
      </c>
      <c r="I47" s="1">
        <v>150</v>
      </c>
      <c r="J47" s="1">
        <v>150</v>
      </c>
      <c r="K47" s="1">
        <v>150</v>
      </c>
      <c r="L47" s="1">
        <v>200</v>
      </c>
      <c r="M47" s="1">
        <v>200</v>
      </c>
      <c r="N47" s="1">
        <v>200</v>
      </c>
      <c r="O47" s="1"/>
    </row>
    <row r="48" spans="1:15" ht="15" x14ac:dyDescent="0.25">
      <c r="A48" s="10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.75" x14ac:dyDescent="0.25">
      <c r="A70" s="1"/>
      <c r="B70" s="3"/>
      <c r="C70" s="4" t="s">
        <v>12</v>
      </c>
      <c r="D70" s="4" t="s">
        <v>14</v>
      </c>
      <c r="E70" s="4" t="s">
        <v>16</v>
      </c>
      <c r="F70" s="4" t="s">
        <v>18</v>
      </c>
      <c r="G70" s="4" t="s">
        <v>92</v>
      </c>
      <c r="H70" s="4" t="s">
        <v>22</v>
      </c>
      <c r="I70" s="4" t="s">
        <v>23</v>
      </c>
      <c r="J70" s="4" t="s">
        <v>24</v>
      </c>
      <c r="K70" s="4" t="s">
        <v>25</v>
      </c>
      <c r="L70" s="4" t="s">
        <v>26</v>
      </c>
      <c r="M70" s="4" t="s">
        <v>8</v>
      </c>
      <c r="N70" s="4" t="s">
        <v>10</v>
      </c>
      <c r="O70" s="1"/>
    </row>
    <row r="71" spans="1:15" ht="15.75" x14ac:dyDescent="0.25">
      <c r="A71" s="5" t="s">
        <v>1</v>
      </c>
      <c r="B71" s="1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1"/>
    </row>
    <row r="72" spans="1:15" ht="15" x14ac:dyDescent="0.25">
      <c r="A72" s="10" t="s">
        <v>5</v>
      </c>
      <c r="B72" s="1"/>
      <c r="C72" s="1">
        <v>600</v>
      </c>
      <c r="D72" s="1">
        <v>460</v>
      </c>
      <c r="E72" s="1">
        <v>355</v>
      </c>
      <c r="F72" s="1">
        <v>240</v>
      </c>
      <c r="G72" s="1">
        <v>195</v>
      </c>
      <c r="H72" s="1">
        <v>178</v>
      </c>
      <c r="I72" s="1">
        <v>177</v>
      </c>
      <c r="J72" s="1">
        <v>240</v>
      </c>
      <c r="K72" s="1">
        <v>300</v>
      </c>
      <c r="L72" s="1">
        <v>380</v>
      </c>
      <c r="M72" s="1">
        <v>590</v>
      </c>
      <c r="N72" s="1">
        <v>730</v>
      </c>
      <c r="O72" s="1"/>
    </row>
    <row r="73" spans="1:15" ht="15" x14ac:dyDescent="0.25">
      <c r="A73" s="10" t="s">
        <v>7</v>
      </c>
      <c r="B73" s="1"/>
      <c r="C73" s="6">
        <v>4.9000000000000004</v>
      </c>
      <c r="D73" s="6">
        <v>10.3</v>
      </c>
      <c r="E73" s="6">
        <v>13.6</v>
      </c>
      <c r="F73" s="6">
        <v>15.4</v>
      </c>
      <c r="G73" s="6">
        <v>18.8</v>
      </c>
      <c r="H73" s="6">
        <v>15.5</v>
      </c>
      <c r="I73" s="6">
        <v>11.8</v>
      </c>
      <c r="J73" s="6">
        <v>5.6</v>
      </c>
      <c r="K73" s="6">
        <v>2.7</v>
      </c>
      <c r="L73" s="6">
        <v>1.7</v>
      </c>
      <c r="M73" s="6">
        <v>3.1</v>
      </c>
      <c r="N73" s="6">
        <v>2.8</v>
      </c>
      <c r="O73" s="1"/>
    </row>
    <row r="74" spans="1:15" ht="15" x14ac:dyDescent="0.25">
      <c r="A74" s="10" t="s">
        <v>33</v>
      </c>
      <c r="B74" s="1"/>
      <c r="C74" s="7">
        <v>140</v>
      </c>
      <c r="D74" s="7">
        <v>416</v>
      </c>
      <c r="E74" s="7">
        <v>436</v>
      </c>
      <c r="F74" s="7">
        <v>624</v>
      </c>
      <c r="G74" s="7">
        <v>724</v>
      </c>
      <c r="H74" s="7">
        <v>540</v>
      </c>
      <c r="I74" s="7">
        <v>401</v>
      </c>
      <c r="J74" s="7">
        <v>329</v>
      </c>
      <c r="K74" s="7">
        <v>307</v>
      </c>
      <c r="L74" s="7">
        <v>234</v>
      </c>
      <c r="M74" s="7">
        <v>180</v>
      </c>
      <c r="N74" s="7">
        <v>145</v>
      </c>
      <c r="O74" s="1"/>
    </row>
    <row r="75" spans="1:15" ht="15" x14ac:dyDescent="0.25">
      <c r="A75" s="10" t="s">
        <v>34</v>
      </c>
      <c r="B75" s="1"/>
      <c r="C75" s="1">
        <v>3250</v>
      </c>
      <c r="D75" s="1">
        <v>7250</v>
      </c>
      <c r="E75" s="1">
        <v>7500</v>
      </c>
      <c r="F75" s="1">
        <v>11500</v>
      </c>
      <c r="G75" s="1">
        <v>13000</v>
      </c>
      <c r="H75" s="1">
        <v>10000</v>
      </c>
      <c r="I75" s="1">
        <v>8000</v>
      </c>
      <c r="J75" s="1">
        <v>6000</v>
      </c>
      <c r="K75" s="1">
        <v>5500</v>
      </c>
      <c r="L75" s="1">
        <v>4000</v>
      </c>
      <c r="M75" s="1">
        <v>3250</v>
      </c>
      <c r="N75" s="1">
        <v>3250</v>
      </c>
      <c r="O75" s="1"/>
    </row>
    <row r="76" spans="1:15" ht="15" x14ac:dyDescent="0.25">
      <c r="A76" s="10" t="s">
        <v>35</v>
      </c>
      <c r="B76" s="1"/>
      <c r="C76" s="7">
        <v>200</v>
      </c>
      <c r="D76" s="7">
        <v>431</v>
      </c>
      <c r="E76" s="7">
        <v>461</v>
      </c>
      <c r="F76" s="7">
        <v>684</v>
      </c>
      <c r="G76" s="7">
        <v>799</v>
      </c>
      <c r="H76" s="7">
        <v>615</v>
      </c>
      <c r="I76" s="7">
        <v>476</v>
      </c>
      <c r="J76" s="7">
        <v>369</v>
      </c>
      <c r="K76" s="7">
        <v>327</v>
      </c>
      <c r="L76" s="7">
        <v>246</v>
      </c>
      <c r="M76" s="7">
        <v>200</v>
      </c>
      <c r="N76" s="7">
        <v>180</v>
      </c>
      <c r="O76" s="1"/>
    </row>
    <row r="77" spans="1:15" ht="15" x14ac:dyDescent="0.25">
      <c r="A77" s="10" t="s">
        <v>36</v>
      </c>
      <c r="B77" s="8"/>
      <c r="C77" s="7">
        <v>3250</v>
      </c>
      <c r="D77" s="7">
        <v>7250</v>
      </c>
      <c r="E77" s="7">
        <v>7500</v>
      </c>
      <c r="F77" s="7">
        <v>11500</v>
      </c>
      <c r="G77" s="7">
        <v>13000</v>
      </c>
      <c r="H77" s="7">
        <v>10000</v>
      </c>
      <c r="I77" s="7">
        <v>8000</v>
      </c>
      <c r="J77" s="7">
        <v>6000</v>
      </c>
      <c r="K77" s="7">
        <v>5500</v>
      </c>
      <c r="L77" s="7">
        <v>4000</v>
      </c>
      <c r="M77" s="7">
        <v>3250</v>
      </c>
      <c r="N77" s="7">
        <v>3250</v>
      </c>
      <c r="O77" s="1"/>
    </row>
    <row r="78" spans="1:15" ht="15" x14ac:dyDescent="0.25">
      <c r="A78" s="10" t="s">
        <v>29</v>
      </c>
      <c r="B78" s="7">
        <v>3414</v>
      </c>
      <c r="C78" s="7">
        <v>3869</v>
      </c>
      <c r="D78" s="7">
        <v>3903</v>
      </c>
      <c r="E78" s="7">
        <v>3808</v>
      </c>
      <c r="F78" s="7">
        <v>3408</v>
      </c>
      <c r="G78" s="7">
        <v>2860</v>
      </c>
      <c r="H78" s="7">
        <v>2483</v>
      </c>
      <c r="I78" s="7">
        <v>2248</v>
      </c>
      <c r="J78" s="7">
        <v>2153</v>
      </c>
      <c r="K78" s="7">
        <v>2143</v>
      </c>
      <c r="L78" s="7">
        <v>2288</v>
      </c>
      <c r="M78" s="7">
        <v>2695</v>
      </c>
      <c r="N78" s="7">
        <v>3277</v>
      </c>
      <c r="O78" s="1"/>
    </row>
    <row r="79" spans="1:15" ht="15" x14ac:dyDescent="0.25">
      <c r="A79" s="10" t="s">
        <v>19</v>
      </c>
      <c r="B79" s="1"/>
      <c r="C79" s="7">
        <v>1043</v>
      </c>
      <c r="D79" s="7">
        <v>1044</v>
      </c>
      <c r="E79" s="7">
        <v>1041</v>
      </c>
      <c r="F79" s="7">
        <v>1025</v>
      </c>
      <c r="G79" s="7">
        <v>1001</v>
      </c>
      <c r="H79" s="7">
        <v>983</v>
      </c>
      <c r="I79" s="7">
        <v>971</v>
      </c>
      <c r="J79" s="7">
        <v>966</v>
      </c>
      <c r="K79" s="7">
        <v>965</v>
      </c>
      <c r="L79" s="7">
        <v>973</v>
      </c>
      <c r="M79" s="7">
        <v>994</v>
      </c>
      <c r="N79" s="7">
        <v>1020</v>
      </c>
      <c r="O79" s="1"/>
    </row>
    <row r="80" spans="1:15" ht="15" x14ac:dyDescent="0.25">
      <c r="A80" s="10" t="s">
        <v>21</v>
      </c>
      <c r="B80" s="1"/>
      <c r="C80" s="7">
        <v>24597</v>
      </c>
      <c r="D80" s="7">
        <v>26784</v>
      </c>
      <c r="E80" s="7">
        <v>26908</v>
      </c>
      <c r="F80" s="7">
        <v>26537</v>
      </c>
      <c r="G80" s="7">
        <v>24597</v>
      </c>
      <c r="H80" s="7">
        <v>21826</v>
      </c>
      <c r="I80" s="7">
        <v>19856</v>
      </c>
      <c r="J80" s="7">
        <v>18593</v>
      </c>
      <c r="K80" s="7">
        <v>18079</v>
      </c>
      <c r="L80" s="7">
        <v>17976</v>
      </c>
      <c r="M80" s="7">
        <v>18801</v>
      </c>
      <c r="N80" s="7">
        <v>21049</v>
      </c>
      <c r="O80" s="1"/>
    </row>
    <row r="81" spans="1:15" ht="15" x14ac:dyDescent="0.25">
      <c r="A81" s="10" t="s">
        <v>37</v>
      </c>
      <c r="B81" s="1"/>
      <c r="C81" s="1">
        <v>4500</v>
      </c>
      <c r="D81" s="1">
        <v>4500</v>
      </c>
      <c r="E81" s="1">
        <v>4500</v>
      </c>
      <c r="F81" s="1">
        <v>4500</v>
      </c>
      <c r="G81" s="1">
        <v>4500</v>
      </c>
      <c r="H81" s="1">
        <v>4500</v>
      </c>
      <c r="I81" s="1">
        <v>4500</v>
      </c>
      <c r="J81" s="1">
        <v>4500</v>
      </c>
      <c r="K81" s="1">
        <v>4500</v>
      </c>
      <c r="L81" s="1">
        <v>4500</v>
      </c>
      <c r="M81" s="1">
        <v>4500</v>
      </c>
      <c r="N81" s="1">
        <v>4500</v>
      </c>
      <c r="O81" s="1"/>
    </row>
    <row r="82" spans="1:15" ht="15" x14ac:dyDescent="0.25">
      <c r="A82" s="10" t="s">
        <v>38</v>
      </c>
      <c r="B82" s="1"/>
      <c r="C82" s="1">
        <v>9969</v>
      </c>
      <c r="D82" s="1">
        <v>-1139</v>
      </c>
      <c r="E82" s="1">
        <v>-3158</v>
      </c>
      <c r="F82" s="1">
        <v>-4500</v>
      </c>
      <c r="G82" s="1">
        <v>-5673</v>
      </c>
      <c r="H82" s="1">
        <v>-3841</v>
      </c>
      <c r="I82" s="1">
        <v>-989</v>
      </c>
      <c r="J82" s="1">
        <v>101.6465604</v>
      </c>
      <c r="K82" s="1">
        <v>1113</v>
      </c>
      <c r="L82" s="1">
        <v>3700</v>
      </c>
      <c r="M82" s="1">
        <v>6564</v>
      </c>
      <c r="N82" s="1">
        <v>9896</v>
      </c>
      <c r="O82" s="1"/>
    </row>
    <row r="83" spans="1:15" ht="15" x14ac:dyDescent="0.25">
      <c r="A83" s="10" t="s">
        <v>39</v>
      </c>
      <c r="B83" s="12"/>
      <c r="C83" s="1">
        <v>13419</v>
      </c>
      <c r="D83" s="1">
        <v>6329</v>
      </c>
      <c r="E83" s="1">
        <v>4558</v>
      </c>
      <c r="F83" s="1">
        <v>7288</v>
      </c>
      <c r="G83" s="1">
        <v>7477</v>
      </c>
      <c r="H83" s="1">
        <v>6309</v>
      </c>
      <c r="I83" s="1">
        <v>7161</v>
      </c>
      <c r="J83" s="1">
        <v>6301.6465600000001</v>
      </c>
      <c r="K83" s="1">
        <v>6813</v>
      </c>
      <c r="L83" s="1">
        <v>7900</v>
      </c>
      <c r="M83" s="1">
        <v>10054</v>
      </c>
      <c r="N83" s="1">
        <v>13346</v>
      </c>
      <c r="O83" s="1"/>
    </row>
    <row r="84" spans="1:15" ht="15" x14ac:dyDescent="0.25">
      <c r="A84" s="10" t="s">
        <v>40</v>
      </c>
      <c r="B84" s="1"/>
      <c r="C84" s="1">
        <v>4500</v>
      </c>
      <c r="D84" s="1">
        <v>5500</v>
      </c>
      <c r="E84" s="1">
        <v>5500</v>
      </c>
      <c r="F84" s="1">
        <v>5500</v>
      </c>
      <c r="G84" s="1">
        <v>3250</v>
      </c>
      <c r="H84" s="1">
        <v>3250</v>
      </c>
      <c r="I84" s="1">
        <v>3250</v>
      </c>
      <c r="J84" s="1">
        <v>3250</v>
      </c>
      <c r="K84" s="1">
        <v>6000</v>
      </c>
      <c r="L84" s="1">
        <v>5500</v>
      </c>
      <c r="M84" s="1">
        <v>5500</v>
      </c>
      <c r="N84" s="1">
        <v>3750</v>
      </c>
      <c r="O84" s="1"/>
    </row>
    <row r="85" spans="1:15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.75" x14ac:dyDescent="0.25">
      <c r="A111" s="1"/>
      <c r="B111" s="3"/>
      <c r="C111" s="4" t="s">
        <v>12</v>
      </c>
      <c r="D111" s="4" t="s">
        <v>14</v>
      </c>
      <c r="E111" s="4" t="s">
        <v>16</v>
      </c>
      <c r="F111" s="4" t="s">
        <v>18</v>
      </c>
      <c r="G111" s="4" t="s">
        <v>92</v>
      </c>
      <c r="H111" s="4" t="s">
        <v>22</v>
      </c>
      <c r="I111" s="4" t="s">
        <v>23</v>
      </c>
      <c r="J111" s="4" t="s">
        <v>24</v>
      </c>
      <c r="K111" s="4" t="s">
        <v>25</v>
      </c>
      <c r="L111" s="4" t="s">
        <v>26</v>
      </c>
      <c r="M111" s="4" t="s">
        <v>8</v>
      </c>
      <c r="N111" s="4" t="s">
        <v>10</v>
      </c>
      <c r="O111" s="1"/>
    </row>
    <row r="112" spans="1:15" ht="15.75" x14ac:dyDescent="0.25">
      <c r="A112" s="5" t="s">
        <v>41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" x14ac:dyDescent="0.25">
      <c r="A113" s="10" t="s">
        <v>5</v>
      </c>
      <c r="B113" s="1"/>
      <c r="C113" s="7">
        <v>250</v>
      </c>
      <c r="D113" s="7">
        <v>130</v>
      </c>
      <c r="E113" s="7">
        <v>116</v>
      </c>
      <c r="F113" s="7">
        <v>89</v>
      </c>
      <c r="G113" s="7">
        <v>118</v>
      </c>
      <c r="H113" s="7">
        <v>121</v>
      </c>
      <c r="I113" s="7">
        <v>126</v>
      </c>
      <c r="J113" s="7">
        <v>120</v>
      </c>
      <c r="K113" s="7">
        <v>170</v>
      </c>
      <c r="L113" s="7">
        <v>220</v>
      </c>
      <c r="M113" s="7">
        <v>320</v>
      </c>
      <c r="N113" s="7">
        <v>450</v>
      </c>
      <c r="O113" s="1"/>
    </row>
    <row r="114" spans="1:15" ht="15" x14ac:dyDescent="0.25">
      <c r="A114" s="10" t="s">
        <v>7</v>
      </c>
      <c r="B114" s="1"/>
      <c r="C114" s="6">
        <v>1.7</v>
      </c>
      <c r="D114" s="6">
        <v>3.5</v>
      </c>
      <c r="E114" s="6">
        <v>4.5</v>
      </c>
      <c r="F114" s="6">
        <v>4.9000000000000004</v>
      </c>
      <c r="G114" s="6">
        <v>5.8</v>
      </c>
      <c r="H114" s="6">
        <v>4.8</v>
      </c>
      <c r="I114" s="6">
        <v>3.6</v>
      </c>
      <c r="J114" s="6">
        <v>1.8</v>
      </c>
      <c r="K114" s="6">
        <v>0.9</v>
      </c>
      <c r="L114" s="6">
        <v>0.5</v>
      </c>
      <c r="M114" s="6">
        <v>1</v>
      </c>
      <c r="N114" s="6">
        <v>0.9</v>
      </c>
      <c r="O114" s="1"/>
    </row>
    <row r="115" spans="1:15" ht="15" x14ac:dyDescent="0.25">
      <c r="A115" s="10" t="s">
        <v>42</v>
      </c>
      <c r="B115" s="1"/>
      <c r="C115" s="7">
        <v>108</v>
      </c>
      <c r="D115" s="7">
        <v>147</v>
      </c>
      <c r="E115" s="7">
        <v>251</v>
      </c>
      <c r="F115" s="7">
        <v>270</v>
      </c>
      <c r="G115" s="7">
        <v>312</v>
      </c>
      <c r="H115" s="7">
        <v>269</v>
      </c>
      <c r="I115" s="7">
        <v>141</v>
      </c>
      <c r="J115" s="7">
        <v>150</v>
      </c>
      <c r="K115" s="7">
        <v>190</v>
      </c>
      <c r="L115" s="7">
        <v>157</v>
      </c>
      <c r="M115" s="7">
        <v>96</v>
      </c>
      <c r="N115" s="7">
        <v>56</v>
      </c>
      <c r="O115" s="1"/>
    </row>
    <row r="116" spans="1:15" ht="15" x14ac:dyDescent="0.25">
      <c r="A116" s="10" t="s">
        <v>43</v>
      </c>
      <c r="B116" s="1">
        <v>1460</v>
      </c>
      <c r="C116" s="7">
        <v>1601</v>
      </c>
      <c r="D116" s="7">
        <v>1580</v>
      </c>
      <c r="E116" s="7">
        <v>1441</v>
      </c>
      <c r="F116" s="7">
        <v>1255</v>
      </c>
      <c r="G116" s="7">
        <v>1055</v>
      </c>
      <c r="H116" s="7">
        <v>902</v>
      </c>
      <c r="I116" s="7">
        <v>883</v>
      </c>
      <c r="J116" s="7">
        <v>851</v>
      </c>
      <c r="K116" s="7">
        <v>830</v>
      </c>
      <c r="L116" s="7">
        <v>892</v>
      </c>
      <c r="M116" s="7">
        <v>1114</v>
      </c>
      <c r="N116" s="7">
        <v>1508</v>
      </c>
      <c r="O116" s="1"/>
    </row>
    <row r="117" spans="1:15" ht="15" x14ac:dyDescent="0.25">
      <c r="A117" s="10" t="s">
        <v>19</v>
      </c>
      <c r="B117" s="1"/>
      <c r="C117" s="7">
        <v>742</v>
      </c>
      <c r="D117" s="7">
        <v>739</v>
      </c>
      <c r="E117" s="7">
        <v>723</v>
      </c>
      <c r="F117" s="7">
        <v>700</v>
      </c>
      <c r="G117" s="7">
        <v>672</v>
      </c>
      <c r="H117" s="7">
        <v>649</v>
      </c>
      <c r="I117" s="7">
        <v>645</v>
      </c>
      <c r="J117" s="7">
        <v>640</v>
      </c>
      <c r="K117" s="7">
        <v>636</v>
      </c>
      <c r="L117" s="7">
        <v>647</v>
      </c>
      <c r="M117" s="7">
        <v>681</v>
      </c>
      <c r="N117" s="7">
        <v>731</v>
      </c>
      <c r="O117" s="1"/>
    </row>
    <row r="118" spans="1:15" ht="15" x14ac:dyDescent="0.25">
      <c r="A118" s="10" t="s">
        <v>21</v>
      </c>
      <c r="B118" s="1"/>
      <c r="C118" s="7">
        <v>8465</v>
      </c>
      <c r="D118" s="7">
        <v>9020</v>
      </c>
      <c r="E118" s="7">
        <v>8931</v>
      </c>
      <c r="F118" s="7">
        <v>8380</v>
      </c>
      <c r="G118" s="7">
        <v>7634</v>
      </c>
      <c r="H118" s="7">
        <v>6749</v>
      </c>
      <c r="I118" s="7">
        <v>6075</v>
      </c>
      <c r="J118" s="7">
        <v>5978</v>
      </c>
      <c r="K118" s="7">
        <v>5839</v>
      </c>
      <c r="L118" s="7">
        <v>5729</v>
      </c>
      <c r="M118" s="7">
        <v>6019</v>
      </c>
      <c r="N118" s="7">
        <v>7025</v>
      </c>
      <c r="O118" s="1"/>
    </row>
    <row r="119" spans="1:15" ht="15" x14ac:dyDescent="0.25">
      <c r="A119" s="10" t="s">
        <v>44</v>
      </c>
      <c r="B119" s="1"/>
      <c r="C119" s="7">
        <v>1750</v>
      </c>
      <c r="D119" s="7">
        <v>1250</v>
      </c>
      <c r="E119" s="7">
        <v>1150</v>
      </c>
      <c r="F119" s="7">
        <v>1500</v>
      </c>
      <c r="G119" s="7">
        <v>2000</v>
      </c>
      <c r="H119" s="7">
        <v>2000</v>
      </c>
      <c r="I119" s="7">
        <v>1500</v>
      </c>
      <c r="J119" s="7">
        <v>1000</v>
      </c>
      <c r="K119" s="7">
        <v>1000</v>
      </c>
      <c r="L119" s="7">
        <v>1000</v>
      </c>
      <c r="M119" s="7">
        <v>1000</v>
      </c>
      <c r="N119" s="7">
        <v>1000</v>
      </c>
      <c r="O119" s="1"/>
    </row>
    <row r="120" spans="1:15" ht="15" x14ac:dyDescent="0.25">
      <c r="A120" s="10" t="s">
        <v>45</v>
      </c>
      <c r="B120" s="1" t="e">
        <f>-cfs</f>
        <v>#NAME?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1"/>
    </row>
    <row r="121" spans="1:15" ht="15" x14ac:dyDescent="0.25">
      <c r="A121" s="10" t="s">
        <v>46</v>
      </c>
      <c r="B121" s="1" t="e">
        <f>-TAF</f>
        <v>#NAME?</v>
      </c>
      <c r="C121" s="7">
        <v>108</v>
      </c>
      <c r="D121" s="7">
        <v>74</v>
      </c>
      <c r="E121" s="7">
        <v>71</v>
      </c>
      <c r="F121" s="7">
        <v>89</v>
      </c>
      <c r="G121" s="7">
        <v>123</v>
      </c>
      <c r="H121" s="7">
        <v>123</v>
      </c>
      <c r="I121" s="7">
        <v>89</v>
      </c>
      <c r="J121" s="7">
        <v>61</v>
      </c>
      <c r="K121" s="7">
        <v>59</v>
      </c>
      <c r="L121" s="7">
        <v>61</v>
      </c>
      <c r="M121" s="7">
        <v>61</v>
      </c>
      <c r="N121" s="7">
        <v>56</v>
      </c>
      <c r="O121" s="1"/>
    </row>
    <row r="122" spans="1:15" ht="15" x14ac:dyDescent="0.25">
      <c r="A122" s="10" t="s">
        <v>47</v>
      </c>
      <c r="B122" s="1" t="e">
        <f>-Deliveries</f>
        <v>#NAME?</v>
      </c>
      <c r="C122" s="7">
        <v>0</v>
      </c>
      <c r="D122" s="7">
        <v>73</v>
      </c>
      <c r="E122" s="7">
        <v>180</v>
      </c>
      <c r="F122" s="7">
        <v>181</v>
      </c>
      <c r="G122" s="7">
        <v>189</v>
      </c>
      <c r="H122" s="7">
        <v>146</v>
      </c>
      <c r="I122" s="7">
        <v>52</v>
      </c>
      <c r="J122" s="7">
        <v>89</v>
      </c>
      <c r="K122" s="7">
        <v>131</v>
      </c>
      <c r="L122" s="7">
        <v>96</v>
      </c>
      <c r="M122" s="7">
        <v>35</v>
      </c>
      <c r="N122" s="7">
        <v>0</v>
      </c>
      <c r="O122" s="1"/>
    </row>
    <row r="123" spans="1:15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.75" x14ac:dyDescent="0.25">
      <c r="A147" s="1"/>
      <c r="B147" s="3"/>
      <c r="C147" s="4" t="s">
        <v>12</v>
      </c>
      <c r="D147" s="4" t="s">
        <v>14</v>
      </c>
      <c r="E147" s="4" t="s">
        <v>16</v>
      </c>
      <c r="F147" s="4" t="s">
        <v>18</v>
      </c>
      <c r="G147" s="4" t="s">
        <v>92</v>
      </c>
      <c r="H147" s="4" t="s">
        <v>22</v>
      </c>
      <c r="I147" s="4" t="s">
        <v>23</v>
      </c>
      <c r="J147" s="4" t="s">
        <v>24</v>
      </c>
      <c r="K147" s="4" t="s">
        <v>25</v>
      </c>
      <c r="L147" s="4" t="s">
        <v>26</v>
      </c>
      <c r="M147" s="4" t="s">
        <v>8</v>
      </c>
      <c r="N147" s="4" t="s">
        <v>10</v>
      </c>
      <c r="O147" s="1"/>
    </row>
    <row r="148" spans="1:15" ht="15.75" x14ac:dyDescent="0.25">
      <c r="A148" s="5" t="s">
        <v>48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5" x14ac:dyDescent="0.25">
      <c r="A149" s="10" t="s">
        <v>5</v>
      </c>
      <c r="B149" s="1"/>
      <c r="C149" s="1">
        <v>197</v>
      </c>
      <c r="D149" s="1">
        <v>171</v>
      </c>
      <c r="E149" s="1">
        <v>160</v>
      </c>
      <c r="F149" s="1">
        <v>87</v>
      </c>
      <c r="G149" s="1">
        <v>76</v>
      </c>
      <c r="H149" s="1">
        <v>80</v>
      </c>
      <c r="I149" s="1">
        <v>69</v>
      </c>
      <c r="J149" s="1">
        <v>90</v>
      </c>
      <c r="K149" s="1">
        <v>100</v>
      </c>
      <c r="L149" s="1">
        <v>120</v>
      </c>
      <c r="M149" s="1">
        <v>160</v>
      </c>
      <c r="N149" s="1">
        <v>270</v>
      </c>
      <c r="O149" s="1"/>
    </row>
    <row r="150" spans="1:15" ht="15" x14ac:dyDescent="0.25">
      <c r="A150" s="10" t="s">
        <v>7</v>
      </c>
      <c r="B150" s="1"/>
      <c r="C150" s="6">
        <v>1.7</v>
      </c>
      <c r="D150" s="6">
        <v>3.4</v>
      </c>
      <c r="E150" s="6">
        <v>4.5</v>
      </c>
      <c r="F150" s="6">
        <v>5</v>
      </c>
      <c r="G150" s="6">
        <v>6.2</v>
      </c>
      <c r="H150" s="6">
        <v>5.4</v>
      </c>
      <c r="I150" s="6">
        <v>3.7</v>
      </c>
      <c r="J150" s="6">
        <v>1.9</v>
      </c>
      <c r="K150" s="6">
        <v>1</v>
      </c>
      <c r="L150" s="6">
        <v>0.6</v>
      </c>
      <c r="M150" s="6">
        <v>1.1000000000000001</v>
      </c>
      <c r="N150" s="6">
        <v>1</v>
      </c>
      <c r="O150" s="1"/>
    </row>
    <row r="151" spans="1:15" ht="15" x14ac:dyDescent="0.25">
      <c r="A151" s="10" t="s">
        <v>9</v>
      </c>
      <c r="B151" s="1"/>
      <c r="C151" s="6">
        <v>130.69999999999999</v>
      </c>
      <c r="D151" s="6">
        <v>180</v>
      </c>
      <c r="E151" s="6">
        <v>125.1</v>
      </c>
      <c r="F151" s="6">
        <v>191.3</v>
      </c>
      <c r="G151" s="6">
        <v>158.6</v>
      </c>
      <c r="H151" s="6">
        <v>146</v>
      </c>
      <c r="I151" s="6">
        <v>87.9</v>
      </c>
      <c r="J151" s="6">
        <v>89.2</v>
      </c>
      <c r="K151" s="6">
        <v>83.7</v>
      </c>
      <c r="L151" s="6">
        <v>84.3</v>
      </c>
      <c r="M151" s="6">
        <v>84.3</v>
      </c>
      <c r="N151" s="6">
        <v>118.5</v>
      </c>
      <c r="O151" s="1"/>
    </row>
    <row r="152" spans="1:15" ht="15" x14ac:dyDescent="0.25">
      <c r="A152" s="10" t="s">
        <v>49</v>
      </c>
      <c r="B152" s="1"/>
      <c r="C152" s="1">
        <v>6.25</v>
      </c>
      <c r="D152" s="1">
        <v>12.5</v>
      </c>
      <c r="E152" s="1">
        <v>12.5</v>
      </c>
      <c r="F152" s="1">
        <v>13.75</v>
      </c>
      <c r="G152" s="1">
        <v>15</v>
      </c>
      <c r="H152" s="1">
        <v>18.600000000000001</v>
      </c>
      <c r="I152" s="1">
        <v>9.9</v>
      </c>
      <c r="J152" s="1">
        <v>10</v>
      </c>
      <c r="K152" s="1">
        <v>7.5</v>
      </c>
      <c r="L152" s="1">
        <v>6.25</v>
      </c>
      <c r="M152" s="1">
        <v>6.25</v>
      </c>
      <c r="N152" s="1">
        <v>6.25</v>
      </c>
      <c r="O152" s="1"/>
    </row>
    <row r="153" spans="1:15" ht="15" x14ac:dyDescent="0.25">
      <c r="A153" s="10" t="s">
        <v>50</v>
      </c>
      <c r="B153" s="1"/>
      <c r="C153" s="6">
        <v>1.5</v>
      </c>
      <c r="D153" s="1">
        <v>1.8</v>
      </c>
      <c r="E153" s="1">
        <v>2.7</v>
      </c>
      <c r="F153" s="1">
        <v>3.6</v>
      </c>
      <c r="G153" s="1">
        <v>4.5</v>
      </c>
      <c r="H153" s="1">
        <v>4.5</v>
      </c>
      <c r="I153" s="1">
        <v>3.6</v>
      </c>
      <c r="J153" s="1">
        <v>2.4</v>
      </c>
      <c r="K153" s="1">
        <v>1.8</v>
      </c>
      <c r="L153" s="1">
        <v>1.2</v>
      </c>
      <c r="M153" s="1">
        <v>1.2</v>
      </c>
      <c r="N153" s="1">
        <v>1.2</v>
      </c>
      <c r="O153" s="1"/>
    </row>
    <row r="154" spans="1:15" ht="15" x14ac:dyDescent="0.25">
      <c r="A154" s="10" t="s">
        <v>51</v>
      </c>
      <c r="B154" s="1"/>
      <c r="C154" s="1">
        <v>2000</v>
      </c>
      <c r="D154" s="1">
        <v>1750</v>
      </c>
      <c r="E154" s="1">
        <v>1750</v>
      </c>
      <c r="F154" s="1">
        <v>1750</v>
      </c>
      <c r="G154" s="1">
        <v>0</v>
      </c>
      <c r="H154" s="1">
        <v>2000</v>
      </c>
      <c r="I154" s="1">
        <v>1250</v>
      </c>
      <c r="J154" s="1">
        <v>1250</v>
      </c>
      <c r="K154" s="1">
        <v>1250</v>
      </c>
      <c r="L154" s="1">
        <v>1250</v>
      </c>
      <c r="M154" s="1">
        <v>1250</v>
      </c>
      <c r="N154" s="1">
        <v>2000</v>
      </c>
      <c r="O154" s="1"/>
    </row>
    <row r="155" spans="1:15" ht="15" x14ac:dyDescent="0.25">
      <c r="A155" s="10" t="s">
        <v>52</v>
      </c>
      <c r="B155" s="1"/>
      <c r="C155" s="6">
        <v>122.9</v>
      </c>
      <c r="D155" s="6">
        <v>104.1</v>
      </c>
      <c r="E155" s="6">
        <v>107.6</v>
      </c>
      <c r="F155" s="6">
        <v>104.1</v>
      </c>
      <c r="G155" s="6">
        <v>0</v>
      </c>
      <c r="H155" s="6">
        <v>122.9</v>
      </c>
      <c r="I155" s="6">
        <v>74.400000000000006</v>
      </c>
      <c r="J155" s="6">
        <v>76.8</v>
      </c>
      <c r="K155" s="6">
        <v>74.400000000000006</v>
      </c>
      <c r="L155" s="6">
        <v>76.8</v>
      </c>
      <c r="M155" s="6">
        <v>76.8</v>
      </c>
      <c r="N155" s="6">
        <v>111</v>
      </c>
      <c r="O155" s="1"/>
    </row>
    <row r="156" spans="1:15" ht="15" x14ac:dyDescent="0.25">
      <c r="A156" s="10" t="s">
        <v>53</v>
      </c>
      <c r="B156" s="1"/>
      <c r="C156" s="6">
        <v>122.9</v>
      </c>
      <c r="D156" s="6">
        <v>165.7</v>
      </c>
      <c r="E156" s="6">
        <v>109.9</v>
      </c>
      <c r="F156" s="6">
        <v>173.9</v>
      </c>
      <c r="G156" s="6">
        <v>139.1</v>
      </c>
      <c r="H156" s="6">
        <v>122.9</v>
      </c>
      <c r="I156" s="6">
        <v>74.400000000000006</v>
      </c>
      <c r="J156" s="6">
        <v>76.8</v>
      </c>
      <c r="K156" s="6">
        <v>74.400000000000006</v>
      </c>
      <c r="L156" s="6">
        <v>76.8</v>
      </c>
      <c r="M156" s="6">
        <v>76.8</v>
      </c>
      <c r="N156" s="6">
        <v>111</v>
      </c>
      <c r="O156" s="1"/>
    </row>
    <row r="157" spans="1:15" ht="15" x14ac:dyDescent="0.25">
      <c r="A157" s="10" t="s">
        <v>29</v>
      </c>
      <c r="B157" s="1">
        <v>526</v>
      </c>
      <c r="C157" s="7">
        <v>591</v>
      </c>
      <c r="D157" s="7">
        <v>578</v>
      </c>
      <c r="E157" s="7">
        <v>609</v>
      </c>
      <c r="F157" s="7">
        <v>499</v>
      </c>
      <c r="G157" s="7">
        <v>410</v>
      </c>
      <c r="H157" s="7">
        <v>339</v>
      </c>
      <c r="I157" s="7">
        <v>316</v>
      </c>
      <c r="J157" s="7">
        <v>315</v>
      </c>
      <c r="K157" s="7">
        <v>331</v>
      </c>
      <c r="L157" s="7">
        <v>366</v>
      </c>
      <c r="M157" s="7">
        <v>440</v>
      </c>
      <c r="N157" s="7">
        <v>591</v>
      </c>
      <c r="O157" s="1"/>
    </row>
    <row r="158" spans="1:15" ht="15" x14ac:dyDescent="0.25">
      <c r="A158" s="10" t="s">
        <v>19</v>
      </c>
      <c r="B158" s="1"/>
      <c r="C158" s="7">
        <v>427</v>
      </c>
      <c r="D158" s="7">
        <v>426</v>
      </c>
      <c r="E158" s="7">
        <v>429</v>
      </c>
      <c r="F158" s="7">
        <v>416</v>
      </c>
      <c r="G158" s="7">
        <v>405</v>
      </c>
      <c r="H158" s="7">
        <v>394</v>
      </c>
      <c r="I158" s="7">
        <v>390</v>
      </c>
      <c r="J158" s="7">
        <v>390</v>
      </c>
      <c r="K158" s="7">
        <v>392</v>
      </c>
      <c r="L158" s="7">
        <v>398</v>
      </c>
      <c r="M158" s="7">
        <v>409</v>
      </c>
      <c r="N158" s="7">
        <v>427</v>
      </c>
      <c r="O158" s="1"/>
    </row>
    <row r="159" spans="1:15" ht="15" x14ac:dyDescent="0.25">
      <c r="A159" s="10" t="s">
        <v>21</v>
      </c>
      <c r="B159" s="1"/>
      <c r="C159" s="7">
        <v>8609</v>
      </c>
      <c r="D159" s="7">
        <v>8828</v>
      </c>
      <c r="E159" s="7">
        <v>8901</v>
      </c>
      <c r="F159" s="7">
        <v>8682</v>
      </c>
      <c r="G159" s="7">
        <v>8175</v>
      </c>
      <c r="H159" s="7">
        <v>7527</v>
      </c>
      <c r="I159" s="7">
        <v>6182</v>
      </c>
      <c r="J159" s="7">
        <v>6463</v>
      </c>
      <c r="K159" s="7">
        <v>6463</v>
      </c>
      <c r="L159" s="7">
        <v>6322</v>
      </c>
      <c r="M159" s="7">
        <v>6604</v>
      </c>
      <c r="N159" s="7">
        <v>7242</v>
      </c>
      <c r="O159" s="1"/>
    </row>
    <row r="160" spans="1:15" ht="15" x14ac:dyDescent="0.25">
      <c r="A160" s="10" t="s">
        <v>54</v>
      </c>
      <c r="B160" s="1"/>
      <c r="C160" s="1">
        <v>1750</v>
      </c>
      <c r="D160" s="1">
        <v>2500</v>
      </c>
      <c r="E160" s="1">
        <v>3520</v>
      </c>
      <c r="F160" s="1">
        <v>2750</v>
      </c>
      <c r="G160" s="1">
        <v>3750</v>
      </c>
      <c r="H160" s="1">
        <v>3500</v>
      </c>
      <c r="I160" s="1">
        <v>2250</v>
      </c>
      <c r="J160" s="1">
        <v>2250</v>
      </c>
      <c r="K160" s="1">
        <v>2500</v>
      </c>
      <c r="L160" s="1">
        <v>2500</v>
      </c>
      <c r="M160" s="1">
        <v>2500</v>
      </c>
      <c r="N160" s="1">
        <v>2500</v>
      </c>
      <c r="O160" s="1"/>
    </row>
    <row r="161" spans="1:15" ht="15" x14ac:dyDescent="0.25">
      <c r="A161" s="1"/>
      <c r="B161" s="1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5" x14ac:dyDescent="0.25">
      <c r="A162" s="1"/>
      <c r="B162" s="1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"/>
    </row>
    <row r="163" spans="1:15" ht="15" x14ac:dyDescent="0.25">
      <c r="A163" s="1"/>
      <c r="B163" s="1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"/>
    </row>
    <row r="164" spans="1:15" ht="15" x14ac:dyDescent="0.25">
      <c r="A164" s="1"/>
      <c r="B164" s="1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"/>
    </row>
    <row r="165" spans="1:15" ht="15" x14ac:dyDescent="0.25">
      <c r="A165" s="1"/>
      <c r="B165" s="1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"/>
    </row>
    <row r="166" spans="1:15" ht="15" x14ac:dyDescent="0.25">
      <c r="A166" s="1"/>
      <c r="B166" s="1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"/>
    </row>
    <row r="167" spans="1:15" ht="15" x14ac:dyDescent="0.25">
      <c r="A167" s="1"/>
      <c r="B167" s="1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"/>
    </row>
    <row r="168" spans="1:15" ht="15" x14ac:dyDescent="0.25">
      <c r="A168" s="1"/>
      <c r="B168" s="1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"/>
    </row>
    <row r="169" spans="1:15" ht="15" x14ac:dyDescent="0.25">
      <c r="A169" s="1"/>
      <c r="B169" s="1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"/>
    </row>
    <row r="170" spans="1:15" ht="15" x14ac:dyDescent="0.25">
      <c r="A170" s="1"/>
      <c r="B170" s="1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"/>
    </row>
    <row r="171" spans="1:15" ht="15" x14ac:dyDescent="0.25">
      <c r="A171" s="1"/>
      <c r="B171" s="1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"/>
    </row>
    <row r="172" spans="1:15" ht="15" x14ac:dyDescent="0.25">
      <c r="A172" s="1"/>
      <c r="B172" s="1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"/>
    </row>
    <row r="173" spans="1:15" ht="15" x14ac:dyDescent="0.25">
      <c r="A173" s="1"/>
      <c r="B173" s="1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"/>
    </row>
    <row r="174" spans="1:15" ht="15" x14ac:dyDescent="0.25">
      <c r="A174" s="1"/>
      <c r="B174" s="1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"/>
    </row>
    <row r="175" spans="1:15" ht="15" x14ac:dyDescent="0.25">
      <c r="A175" s="1"/>
      <c r="B175" s="1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"/>
    </row>
    <row r="176" spans="1:15" ht="15" x14ac:dyDescent="0.25">
      <c r="A176" s="1"/>
      <c r="B176" s="1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"/>
    </row>
    <row r="177" spans="1:15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5.75" x14ac:dyDescent="0.25">
      <c r="A187" s="1"/>
      <c r="B187" s="3"/>
      <c r="C187" s="4" t="s">
        <v>12</v>
      </c>
      <c r="D187" s="4" t="s">
        <v>14</v>
      </c>
      <c r="E187" s="4" t="s">
        <v>16</v>
      </c>
      <c r="F187" s="4" t="s">
        <v>18</v>
      </c>
      <c r="G187" s="4" t="s">
        <v>92</v>
      </c>
      <c r="H187" s="4" t="s">
        <v>22</v>
      </c>
      <c r="I187" s="4" t="s">
        <v>23</v>
      </c>
      <c r="J187" s="4" t="s">
        <v>24</v>
      </c>
      <c r="K187" s="4" t="s">
        <v>25</v>
      </c>
      <c r="L187" s="4" t="s">
        <v>26</v>
      </c>
      <c r="M187" s="4" t="s">
        <v>8</v>
      </c>
      <c r="N187" s="4" t="s">
        <v>10</v>
      </c>
      <c r="O187" s="1"/>
    </row>
    <row r="188" spans="1:15" ht="15.75" x14ac:dyDescent="0.25">
      <c r="A188" s="5" t="s">
        <v>55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5" x14ac:dyDescent="0.25">
      <c r="A189" s="10" t="s">
        <v>5</v>
      </c>
      <c r="B189" s="1"/>
      <c r="C189" s="7">
        <v>75</v>
      </c>
      <c r="D189" s="7">
        <v>103</v>
      </c>
      <c r="E189" s="7">
        <v>108</v>
      </c>
      <c r="F189" s="7">
        <v>72</v>
      </c>
      <c r="G189" s="7">
        <v>43</v>
      </c>
      <c r="H189" s="7">
        <v>38</v>
      </c>
      <c r="I189" s="7">
        <v>35</v>
      </c>
      <c r="J189" s="7">
        <v>35</v>
      </c>
      <c r="K189" s="7">
        <v>35</v>
      </c>
      <c r="L189" s="7">
        <v>40</v>
      </c>
      <c r="M189" s="7">
        <v>50</v>
      </c>
      <c r="N189" s="7">
        <v>80</v>
      </c>
      <c r="O189" s="1"/>
    </row>
    <row r="190" spans="1:15" ht="15" x14ac:dyDescent="0.25">
      <c r="A190" s="10" t="s">
        <v>7</v>
      </c>
      <c r="B190" s="1"/>
      <c r="C190" s="6">
        <v>2.2000000000000002</v>
      </c>
      <c r="D190" s="6">
        <v>4.2</v>
      </c>
      <c r="E190" s="6">
        <v>5.4</v>
      </c>
      <c r="F190" s="6">
        <v>6</v>
      </c>
      <c r="G190" s="6">
        <v>7.7</v>
      </c>
      <c r="H190" s="6">
        <v>7</v>
      </c>
      <c r="I190" s="6">
        <v>5.7</v>
      </c>
      <c r="J190" s="6">
        <v>2.8</v>
      </c>
      <c r="K190" s="6">
        <v>1.4</v>
      </c>
      <c r="L190" s="6">
        <v>0.9</v>
      </c>
      <c r="M190" s="6">
        <v>1.6</v>
      </c>
      <c r="N190" s="6">
        <v>1.3</v>
      </c>
      <c r="O190" s="1"/>
    </row>
    <row r="191" spans="1:15" ht="15" x14ac:dyDescent="0.25">
      <c r="A191" s="10" t="s">
        <v>9</v>
      </c>
      <c r="B191" s="1"/>
      <c r="C191" s="7">
        <v>54</v>
      </c>
      <c r="D191" s="7">
        <v>165</v>
      </c>
      <c r="E191" s="7">
        <v>195</v>
      </c>
      <c r="F191" s="7">
        <v>127</v>
      </c>
      <c r="G191" s="7">
        <v>105</v>
      </c>
      <c r="H191" s="7">
        <v>90</v>
      </c>
      <c r="I191" s="7">
        <v>69</v>
      </c>
      <c r="J191" s="7">
        <v>71</v>
      </c>
      <c r="K191" s="7">
        <v>12</v>
      </c>
      <c r="L191" s="7">
        <v>12</v>
      </c>
      <c r="M191" s="7">
        <v>14</v>
      </c>
      <c r="N191" s="7">
        <v>23</v>
      </c>
      <c r="O191" s="1"/>
    </row>
    <row r="192" spans="1:15" ht="15" x14ac:dyDescent="0.25">
      <c r="A192" s="10" t="s">
        <v>56</v>
      </c>
      <c r="B192" s="1"/>
      <c r="C192" s="6">
        <v>58.5</v>
      </c>
      <c r="D192" s="6">
        <v>62.6</v>
      </c>
      <c r="E192" s="6">
        <v>67</v>
      </c>
      <c r="F192" s="6">
        <v>67</v>
      </c>
      <c r="G192" s="6">
        <v>67</v>
      </c>
      <c r="H192" s="6">
        <v>67</v>
      </c>
      <c r="I192" s="6">
        <v>63.8</v>
      </c>
      <c r="J192" s="6">
        <v>57</v>
      </c>
      <c r="K192" s="6">
        <v>57</v>
      </c>
      <c r="L192" s="6">
        <v>57</v>
      </c>
      <c r="M192" s="6">
        <v>57</v>
      </c>
      <c r="N192" s="6">
        <v>57</v>
      </c>
      <c r="O192" s="1"/>
    </row>
    <row r="193" spans="1:15" ht="15" x14ac:dyDescent="0.25">
      <c r="A193" s="10" t="s">
        <v>57</v>
      </c>
      <c r="B193" s="1"/>
      <c r="C193" s="7">
        <v>200</v>
      </c>
      <c r="D193" s="7">
        <v>1537</v>
      </c>
      <c r="E193" s="7">
        <v>1242</v>
      </c>
      <c r="F193" s="7">
        <v>363</v>
      </c>
      <c r="G193" s="7">
        <v>250</v>
      </c>
      <c r="H193" s="7">
        <v>250</v>
      </c>
      <c r="I193" s="7">
        <v>250</v>
      </c>
      <c r="J193" s="7">
        <v>774</v>
      </c>
      <c r="K193" s="7">
        <v>200</v>
      </c>
      <c r="L193" s="7">
        <v>200</v>
      </c>
      <c r="M193" s="7">
        <v>226</v>
      </c>
      <c r="N193" s="7">
        <v>229</v>
      </c>
      <c r="O193" s="1"/>
    </row>
    <row r="194" spans="1:15" ht="15" x14ac:dyDescent="0.25">
      <c r="A194" s="10" t="s">
        <v>58</v>
      </c>
      <c r="B194" s="1"/>
      <c r="C194" s="7">
        <v>12</v>
      </c>
      <c r="D194" s="7">
        <v>83</v>
      </c>
      <c r="E194" s="7">
        <v>96</v>
      </c>
      <c r="F194" s="7">
        <v>22</v>
      </c>
      <c r="G194" s="7">
        <v>15</v>
      </c>
      <c r="H194" s="7">
        <v>15</v>
      </c>
      <c r="I194" s="7">
        <v>15</v>
      </c>
      <c r="J194" s="7">
        <v>48</v>
      </c>
      <c r="K194" s="7">
        <v>12</v>
      </c>
      <c r="L194" s="7">
        <v>12</v>
      </c>
      <c r="M194" s="7">
        <v>14</v>
      </c>
      <c r="N194" s="7">
        <v>13</v>
      </c>
      <c r="O194" s="1"/>
    </row>
    <row r="195" spans="1:15" ht="15" x14ac:dyDescent="0.25">
      <c r="A195" s="10" t="s">
        <v>59</v>
      </c>
      <c r="B195" s="1"/>
      <c r="C195" s="7">
        <v>25</v>
      </c>
      <c r="D195" s="7">
        <v>70</v>
      </c>
      <c r="E195" s="7">
        <v>85</v>
      </c>
      <c r="F195" s="7">
        <v>95</v>
      </c>
      <c r="G195" s="7">
        <v>75</v>
      </c>
      <c r="H195" s="7">
        <v>65</v>
      </c>
      <c r="I195" s="7">
        <v>50</v>
      </c>
      <c r="J195" s="7">
        <v>26</v>
      </c>
      <c r="K195" s="7">
        <v>0</v>
      </c>
      <c r="L195" s="7">
        <v>0</v>
      </c>
      <c r="M195" s="7">
        <v>0</v>
      </c>
      <c r="N195" s="7">
        <v>10</v>
      </c>
      <c r="O195" s="1"/>
    </row>
    <row r="196" spans="1:15" ht="15" x14ac:dyDescent="0.25">
      <c r="A196" s="10" t="s">
        <v>60</v>
      </c>
      <c r="B196" s="1"/>
      <c r="C196" s="7">
        <v>7</v>
      </c>
      <c r="D196" s="7">
        <v>8</v>
      </c>
      <c r="E196" s="7">
        <v>10</v>
      </c>
      <c r="F196" s="7">
        <v>10</v>
      </c>
      <c r="G196" s="7">
        <v>15</v>
      </c>
      <c r="H196" s="7">
        <v>10</v>
      </c>
      <c r="I196" s="7">
        <v>7</v>
      </c>
      <c r="J196" s="7">
        <v>4</v>
      </c>
      <c r="K196" s="7">
        <v>0</v>
      </c>
      <c r="L196" s="7">
        <v>0</v>
      </c>
      <c r="M196" s="7">
        <v>0</v>
      </c>
      <c r="N196" s="7">
        <v>0</v>
      </c>
      <c r="O196" s="1"/>
    </row>
    <row r="197" spans="1:15" ht="15" x14ac:dyDescent="0.25">
      <c r="A197" s="10" t="s">
        <v>43</v>
      </c>
      <c r="B197" s="7">
        <v>1920</v>
      </c>
      <c r="C197" s="7">
        <v>1939</v>
      </c>
      <c r="D197" s="7">
        <v>1872</v>
      </c>
      <c r="E197" s="7">
        <v>1780</v>
      </c>
      <c r="F197" s="7">
        <v>1719</v>
      </c>
      <c r="G197" s="7">
        <v>1649</v>
      </c>
      <c r="H197" s="7">
        <v>1590</v>
      </c>
      <c r="I197" s="7">
        <v>1551</v>
      </c>
      <c r="J197" s="7">
        <v>1512</v>
      </c>
      <c r="K197" s="7">
        <v>1534</v>
      </c>
      <c r="L197" s="7">
        <v>1561</v>
      </c>
      <c r="M197" s="7">
        <v>1595</v>
      </c>
      <c r="N197" s="7">
        <v>1651</v>
      </c>
      <c r="O197" s="1"/>
    </row>
    <row r="198" spans="1:15" ht="15" x14ac:dyDescent="0.25">
      <c r="A198" s="10" t="s">
        <v>19</v>
      </c>
      <c r="B198" s="1"/>
      <c r="C198" s="7">
        <v>1047</v>
      </c>
      <c r="D198" s="7">
        <v>1041</v>
      </c>
      <c r="E198" s="7">
        <v>1032</v>
      </c>
      <c r="F198" s="7">
        <v>1026</v>
      </c>
      <c r="G198" s="7">
        <v>1019</v>
      </c>
      <c r="H198" s="7">
        <v>1013</v>
      </c>
      <c r="I198" s="7">
        <v>1009</v>
      </c>
      <c r="J198" s="7">
        <v>1004</v>
      </c>
      <c r="K198" s="7">
        <v>1007</v>
      </c>
      <c r="L198" s="7">
        <v>1010</v>
      </c>
      <c r="M198" s="7">
        <v>1013</v>
      </c>
      <c r="N198" s="7">
        <v>1019</v>
      </c>
      <c r="O198" s="1"/>
    </row>
    <row r="199" spans="1:15" ht="15" x14ac:dyDescent="0.25">
      <c r="A199" s="10" t="s">
        <v>21</v>
      </c>
      <c r="B199" s="1"/>
      <c r="C199" s="7">
        <v>10809</v>
      </c>
      <c r="D199" s="7">
        <v>10887</v>
      </c>
      <c r="E199" s="7">
        <v>10656</v>
      </c>
      <c r="F199" s="7">
        <v>10314</v>
      </c>
      <c r="G199" s="7">
        <v>10089</v>
      </c>
      <c r="H199" s="7">
        <v>9829</v>
      </c>
      <c r="I199" s="7">
        <v>9609</v>
      </c>
      <c r="J199" s="7">
        <v>9463</v>
      </c>
      <c r="K199" s="7">
        <v>9282</v>
      </c>
      <c r="L199" s="7">
        <v>9391</v>
      </c>
      <c r="M199" s="7">
        <v>9499</v>
      </c>
      <c r="N199" s="7">
        <v>9609</v>
      </c>
      <c r="O199" s="1"/>
    </row>
    <row r="200" spans="1:15" ht="15" x14ac:dyDescent="0.25">
      <c r="A200" s="10" t="s">
        <v>61</v>
      </c>
      <c r="B200" s="1"/>
      <c r="C200" s="7">
        <v>108</v>
      </c>
      <c r="D200" s="7">
        <v>89</v>
      </c>
      <c r="E200" s="7">
        <v>98</v>
      </c>
      <c r="F200" s="7">
        <v>47</v>
      </c>
      <c r="G200" s="7">
        <v>39</v>
      </c>
      <c r="H200" s="7">
        <v>37</v>
      </c>
      <c r="I200" s="7">
        <v>42</v>
      </c>
      <c r="J200" s="7">
        <v>69</v>
      </c>
      <c r="K200" s="7">
        <v>71</v>
      </c>
      <c r="L200" s="7">
        <v>71</v>
      </c>
      <c r="M200" s="7">
        <v>79</v>
      </c>
      <c r="N200" s="7">
        <v>99</v>
      </c>
      <c r="O200" s="1"/>
    </row>
    <row r="201" spans="1:15" ht="15" x14ac:dyDescent="0.25">
      <c r="A201" s="10" t="s">
        <v>62</v>
      </c>
      <c r="B201" s="12"/>
      <c r="C201" s="7">
        <v>1957</v>
      </c>
      <c r="D201" s="7">
        <v>2897</v>
      </c>
      <c r="E201" s="7">
        <v>3150</v>
      </c>
      <c r="F201" s="7">
        <v>1153</v>
      </c>
      <c r="G201" s="7">
        <v>884</v>
      </c>
      <c r="H201" s="7">
        <v>852</v>
      </c>
      <c r="I201" s="7">
        <v>956</v>
      </c>
      <c r="J201" s="7">
        <v>1897</v>
      </c>
      <c r="K201" s="7">
        <v>1393</v>
      </c>
      <c r="L201" s="7">
        <v>1355</v>
      </c>
      <c r="M201" s="7">
        <v>1511</v>
      </c>
      <c r="N201" s="7">
        <v>2012</v>
      </c>
      <c r="O201" s="1"/>
    </row>
    <row r="202" spans="1:15" ht="15" x14ac:dyDescent="0.25">
      <c r="A202" s="1"/>
      <c r="B202" s="1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"/>
    </row>
    <row r="203" spans="1:15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5.75" x14ac:dyDescent="0.25">
      <c r="A229" s="1"/>
      <c r="B229" s="3"/>
      <c r="C229" s="4" t="s">
        <v>12</v>
      </c>
      <c r="D229" s="4" t="s">
        <v>14</v>
      </c>
      <c r="E229" s="4" t="s">
        <v>16</v>
      </c>
      <c r="F229" s="4" t="s">
        <v>18</v>
      </c>
      <c r="G229" s="4" t="s">
        <v>92</v>
      </c>
      <c r="H229" s="4" t="s">
        <v>22</v>
      </c>
      <c r="I229" s="4" t="s">
        <v>23</v>
      </c>
      <c r="J229" s="4" t="s">
        <v>24</v>
      </c>
      <c r="K229" s="4" t="s">
        <v>25</v>
      </c>
      <c r="L229" s="4" t="s">
        <v>26</v>
      </c>
      <c r="M229" s="4" t="s">
        <v>8</v>
      </c>
      <c r="N229" s="4" t="s">
        <v>10</v>
      </c>
      <c r="O229" s="1"/>
    </row>
    <row r="230" spans="1:15" ht="15.75" x14ac:dyDescent="0.25">
      <c r="A230" s="5" t="s">
        <v>63</v>
      </c>
      <c r="B230" s="1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1"/>
    </row>
    <row r="231" spans="1:15" ht="15" x14ac:dyDescent="0.25">
      <c r="A231" s="10" t="s">
        <v>64</v>
      </c>
      <c r="B231" s="1"/>
      <c r="C231" s="8">
        <v>70</v>
      </c>
      <c r="D231" s="8">
        <v>-85</v>
      </c>
      <c r="E231" s="8">
        <v>-158</v>
      </c>
      <c r="F231" s="8">
        <v>-252</v>
      </c>
      <c r="G231" s="8">
        <v>-214</v>
      </c>
      <c r="H231" s="8">
        <v>-80</v>
      </c>
      <c r="I231" s="8">
        <v>86</v>
      </c>
      <c r="J231" s="8">
        <v>143</v>
      </c>
      <c r="K231" s="8">
        <v>203</v>
      </c>
      <c r="L231" s="8">
        <v>229</v>
      </c>
      <c r="M231" s="8">
        <v>159</v>
      </c>
      <c r="N231" s="8">
        <v>115</v>
      </c>
      <c r="O231" s="1"/>
    </row>
    <row r="232" spans="1:15" ht="15" x14ac:dyDescent="0.25">
      <c r="A232" s="10" t="s">
        <v>65</v>
      </c>
      <c r="B232" s="1">
        <v>841</v>
      </c>
      <c r="C232" s="8">
        <v>902</v>
      </c>
      <c r="D232" s="8">
        <v>802</v>
      </c>
      <c r="E232" s="8">
        <v>627</v>
      </c>
      <c r="F232" s="8">
        <v>359</v>
      </c>
      <c r="G232" s="8">
        <v>127</v>
      </c>
      <c r="H232" s="8">
        <v>31</v>
      </c>
      <c r="I232" s="8">
        <v>105</v>
      </c>
      <c r="J232" s="8">
        <v>237</v>
      </c>
      <c r="K232" s="8">
        <v>432</v>
      </c>
      <c r="L232" s="8">
        <v>653</v>
      </c>
      <c r="M232" s="8">
        <v>806</v>
      </c>
      <c r="N232" s="8">
        <v>916</v>
      </c>
      <c r="O232" s="1"/>
    </row>
    <row r="233" spans="1:15" ht="15" x14ac:dyDescent="0.25">
      <c r="A233" s="10" t="s">
        <v>66</v>
      </c>
      <c r="B233" s="8"/>
      <c r="C233" s="8">
        <v>110</v>
      </c>
      <c r="D233" s="8">
        <v>-67</v>
      </c>
      <c r="E233" s="8">
        <v>-69</v>
      </c>
      <c r="F233" s="8">
        <v>-56</v>
      </c>
      <c r="G233" s="8">
        <v>-55</v>
      </c>
      <c r="H233" s="8">
        <v>-67</v>
      </c>
      <c r="I233" s="8">
        <v>57</v>
      </c>
      <c r="J233" s="8">
        <v>105</v>
      </c>
      <c r="K233" s="8">
        <v>159</v>
      </c>
      <c r="L233" s="8">
        <v>210</v>
      </c>
      <c r="M233" s="8">
        <v>27</v>
      </c>
      <c r="N233" s="8">
        <v>72</v>
      </c>
      <c r="O233" s="1"/>
    </row>
    <row r="234" spans="1:15" ht="15" x14ac:dyDescent="0.25">
      <c r="A234" s="10" t="s">
        <v>67</v>
      </c>
      <c r="B234" s="8">
        <v>697</v>
      </c>
      <c r="C234" s="8">
        <v>806</v>
      </c>
      <c r="D234" s="8">
        <v>736</v>
      </c>
      <c r="E234" s="8">
        <v>663</v>
      </c>
      <c r="F234" s="8">
        <v>604</v>
      </c>
      <c r="G234" s="8">
        <v>545</v>
      </c>
      <c r="H234" s="8">
        <v>474</v>
      </c>
      <c r="I234" s="8">
        <v>528</v>
      </c>
      <c r="J234" s="8">
        <v>632</v>
      </c>
      <c r="K234" s="8">
        <v>790</v>
      </c>
      <c r="L234" s="8">
        <v>999</v>
      </c>
      <c r="M234" s="8">
        <v>1025</v>
      </c>
      <c r="N234" s="8">
        <v>1095</v>
      </c>
      <c r="O234" s="1"/>
    </row>
    <row r="235" spans="1:15" ht="15" x14ac:dyDescent="0.25">
      <c r="A235" s="10" t="s">
        <v>68</v>
      </c>
      <c r="B235" s="15">
        <v>1538</v>
      </c>
      <c r="C235" s="8">
        <v>1708</v>
      </c>
      <c r="D235" s="8">
        <v>1538</v>
      </c>
      <c r="E235" s="8">
        <v>1290</v>
      </c>
      <c r="F235" s="8">
        <v>963</v>
      </c>
      <c r="G235" s="8">
        <v>672</v>
      </c>
      <c r="H235" s="8">
        <v>505</v>
      </c>
      <c r="I235" s="8">
        <v>633</v>
      </c>
      <c r="J235" s="8">
        <v>869</v>
      </c>
      <c r="K235" s="8">
        <v>1222</v>
      </c>
      <c r="L235" s="8">
        <v>1652</v>
      </c>
      <c r="M235" s="8">
        <v>1831</v>
      </c>
      <c r="N235" s="8">
        <v>2011</v>
      </c>
      <c r="O235" s="1"/>
    </row>
    <row r="236" spans="1:15" ht="15" x14ac:dyDescent="0.25">
      <c r="A236" s="10" t="s">
        <v>21</v>
      </c>
      <c r="B236" s="1"/>
      <c r="C236" s="8">
        <v>11673</v>
      </c>
      <c r="D236" s="8">
        <v>12023</v>
      </c>
      <c r="E236" s="8">
        <v>11673</v>
      </c>
      <c r="F236" s="8">
        <v>11042</v>
      </c>
      <c r="G236" s="8">
        <v>9946</v>
      </c>
      <c r="H236" s="8">
        <v>8683</v>
      </c>
      <c r="I236" s="8">
        <v>7764</v>
      </c>
      <c r="J236" s="8">
        <v>8461</v>
      </c>
      <c r="K236" s="8">
        <v>9560</v>
      </c>
      <c r="L236" s="8">
        <v>10787</v>
      </c>
      <c r="M236" s="8">
        <v>11902</v>
      </c>
      <c r="N236" s="8">
        <v>12248</v>
      </c>
    </row>
    <row r="237" spans="1:15" ht="15" x14ac:dyDescent="0.25">
      <c r="A237" s="10" t="s">
        <v>69</v>
      </c>
      <c r="C237" s="8">
        <v>517</v>
      </c>
      <c r="D237" s="8">
        <v>503</v>
      </c>
      <c r="E237" s="8">
        <v>481</v>
      </c>
      <c r="F237" s="8">
        <v>449</v>
      </c>
      <c r="G237" s="8">
        <v>418</v>
      </c>
      <c r="H237" s="8">
        <v>398</v>
      </c>
      <c r="I237" s="8">
        <v>413</v>
      </c>
      <c r="J237" s="8">
        <v>439</v>
      </c>
      <c r="K237" s="8">
        <v>473</v>
      </c>
      <c r="L237" s="8">
        <v>512</v>
      </c>
      <c r="M237" s="8">
        <v>527</v>
      </c>
      <c r="N237" s="8">
        <v>542</v>
      </c>
    </row>
    <row r="263" spans="1:14" ht="15.75" x14ac:dyDescent="0.25">
      <c r="A263" s="1"/>
      <c r="B263" s="4"/>
      <c r="C263" s="4" t="s">
        <v>12</v>
      </c>
      <c r="D263" s="4" t="s">
        <v>14</v>
      </c>
      <c r="E263" s="4" t="s">
        <v>16</v>
      </c>
      <c r="F263" s="4" t="s">
        <v>18</v>
      </c>
      <c r="G263" s="4" t="s">
        <v>92</v>
      </c>
      <c r="H263" s="4" t="s">
        <v>22</v>
      </c>
      <c r="I263" s="4" t="s">
        <v>23</v>
      </c>
      <c r="J263" s="4" t="s">
        <v>24</v>
      </c>
      <c r="K263" s="4" t="s">
        <v>25</v>
      </c>
      <c r="L263" s="4" t="s">
        <v>26</v>
      </c>
      <c r="M263" s="4" t="s">
        <v>8</v>
      </c>
      <c r="N263" s="4" t="s">
        <v>10</v>
      </c>
    </row>
    <row r="264" spans="1:14" ht="15.75" x14ac:dyDescent="0.25">
      <c r="A264" s="5" t="s">
        <v>70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4" ht="15" x14ac:dyDescent="0.25">
      <c r="A265" s="1" t="s">
        <v>71</v>
      </c>
      <c r="B265" s="1"/>
      <c r="C265" s="7">
        <v>0</v>
      </c>
      <c r="D265" s="7">
        <v>0</v>
      </c>
      <c r="E265" s="7">
        <v>0</v>
      </c>
      <c r="F265" s="7">
        <v>0</v>
      </c>
      <c r="G265" s="7">
        <v>11</v>
      </c>
      <c r="H265" s="7">
        <v>11</v>
      </c>
      <c r="I265" s="7">
        <v>11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</row>
    <row r="266" spans="1:14" ht="15" x14ac:dyDescent="0.25">
      <c r="A266" s="1" t="s">
        <v>72</v>
      </c>
      <c r="B266" s="1"/>
      <c r="C266" s="6">
        <v>12.7</v>
      </c>
      <c r="D266" s="6">
        <v>12.7</v>
      </c>
      <c r="E266" s="6">
        <v>12.7</v>
      </c>
      <c r="F266" s="6">
        <v>9.8000000000000007</v>
      </c>
      <c r="G266" s="6">
        <v>11.1</v>
      </c>
      <c r="H266" s="6">
        <v>12.7</v>
      </c>
      <c r="I266" s="6">
        <v>14</v>
      </c>
      <c r="J266" s="6">
        <v>16.8</v>
      </c>
      <c r="K266" s="6">
        <v>18.399999999999999</v>
      </c>
      <c r="L266" s="6">
        <v>18.3</v>
      </c>
      <c r="M266" s="6">
        <v>14</v>
      </c>
      <c r="N266" s="6">
        <v>14</v>
      </c>
    </row>
    <row r="267" spans="1:14" ht="15" x14ac:dyDescent="0.25">
      <c r="A267" s="1" t="s">
        <v>73</v>
      </c>
      <c r="B267" s="1"/>
      <c r="C267" s="7">
        <v>200</v>
      </c>
      <c r="D267" s="7">
        <v>48</v>
      </c>
      <c r="E267" s="7">
        <v>49</v>
      </c>
      <c r="F267" s="7">
        <v>40</v>
      </c>
      <c r="G267" s="7">
        <v>111</v>
      </c>
      <c r="H267" s="7">
        <v>190</v>
      </c>
      <c r="I267" s="7">
        <v>252</v>
      </c>
      <c r="J267" s="7">
        <v>265</v>
      </c>
      <c r="K267" s="7">
        <v>254</v>
      </c>
      <c r="L267" s="7">
        <v>260</v>
      </c>
      <c r="M267" s="7">
        <v>195</v>
      </c>
      <c r="N267" s="7">
        <v>185</v>
      </c>
    </row>
    <row r="268" spans="1:14" ht="15" x14ac:dyDescent="0.25">
      <c r="A268" s="1" t="s">
        <v>74</v>
      </c>
      <c r="B268" s="1"/>
      <c r="C268" s="7">
        <v>213</v>
      </c>
      <c r="D268" s="7">
        <v>60</v>
      </c>
      <c r="E268" s="7">
        <v>62</v>
      </c>
      <c r="F268" s="7">
        <v>50</v>
      </c>
      <c r="G268" s="7">
        <v>133</v>
      </c>
      <c r="H268" s="7">
        <v>214</v>
      </c>
      <c r="I268" s="7">
        <v>277</v>
      </c>
      <c r="J268" s="7">
        <v>282</v>
      </c>
      <c r="K268" s="7">
        <v>272</v>
      </c>
      <c r="L268" s="7">
        <v>278</v>
      </c>
      <c r="M268" s="7">
        <v>209</v>
      </c>
      <c r="N268" s="7">
        <v>199</v>
      </c>
    </row>
    <row r="269" spans="1:14" ht="15" x14ac:dyDescent="0.25">
      <c r="A269" s="1" t="s">
        <v>75</v>
      </c>
      <c r="B269" s="1"/>
      <c r="C269" s="8">
        <v>200</v>
      </c>
      <c r="D269" s="8">
        <v>42</v>
      </c>
      <c r="E269" s="8">
        <v>43</v>
      </c>
      <c r="F269" s="8">
        <v>80</v>
      </c>
      <c r="G269" s="8">
        <v>66</v>
      </c>
      <c r="H269" s="8">
        <v>52</v>
      </c>
      <c r="I269" s="8">
        <v>135</v>
      </c>
      <c r="J269" s="8">
        <v>195</v>
      </c>
      <c r="K269" s="8">
        <v>229</v>
      </c>
      <c r="L269" s="8">
        <v>260</v>
      </c>
      <c r="M269" s="8">
        <v>195</v>
      </c>
      <c r="N269" s="8">
        <v>185</v>
      </c>
    </row>
    <row r="270" spans="1:14" ht="15" x14ac:dyDescent="0.25">
      <c r="A270" s="1" t="s">
        <v>76</v>
      </c>
      <c r="B270" s="1"/>
      <c r="C270" s="7">
        <v>413</v>
      </c>
      <c r="D270" s="7">
        <v>102</v>
      </c>
      <c r="E270" s="7">
        <v>105</v>
      </c>
      <c r="F270" s="7">
        <v>130</v>
      </c>
      <c r="G270" s="7">
        <v>199</v>
      </c>
      <c r="H270" s="7">
        <v>266</v>
      </c>
      <c r="I270" s="7">
        <v>412</v>
      </c>
      <c r="J270" s="7">
        <v>477</v>
      </c>
      <c r="K270" s="7">
        <v>501</v>
      </c>
      <c r="L270" s="7">
        <v>538</v>
      </c>
      <c r="M270" s="7">
        <v>404</v>
      </c>
      <c r="N270" s="7">
        <v>384</v>
      </c>
    </row>
    <row r="271" spans="1:14" ht="15" x14ac:dyDescent="0.25">
      <c r="A271" s="1" t="s">
        <v>77</v>
      </c>
      <c r="B271" s="1"/>
      <c r="C271" s="6">
        <v>0</v>
      </c>
      <c r="D271" s="6">
        <v>-28</v>
      </c>
      <c r="E271" s="6">
        <v>-67.099999999999994</v>
      </c>
      <c r="F271" s="6">
        <v>51</v>
      </c>
      <c r="G271" s="6">
        <v>44</v>
      </c>
      <c r="H271" s="6">
        <v>0</v>
      </c>
      <c r="I271" s="6">
        <v>87.3</v>
      </c>
      <c r="J271" s="6">
        <v>25.5</v>
      </c>
      <c r="K271" s="6">
        <v>-0.8</v>
      </c>
      <c r="L271" s="6">
        <v>0</v>
      </c>
      <c r="M271" s="6">
        <v>0</v>
      </c>
      <c r="N271" s="6">
        <v>0</v>
      </c>
    </row>
    <row r="272" spans="1:14" ht="15" x14ac:dyDescent="0.25">
      <c r="A272" s="1" t="s">
        <v>78</v>
      </c>
      <c r="B272" s="1"/>
      <c r="C272" s="6">
        <v>0</v>
      </c>
      <c r="D272" s="6">
        <v>-28</v>
      </c>
      <c r="E272" s="6">
        <v>-95.1</v>
      </c>
      <c r="F272" s="6">
        <v>-44.1</v>
      </c>
      <c r="G272" s="6">
        <v>-0.1</v>
      </c>
      <c r="H272" s="6">
        <v>-0.1</v>
      </c>
      <c r="I272" s="6">
        <v>87.2</v>
      </c>
      <c r="J272" s="6">
        <v>112.7</v>
      </c>
      <c r="K272" s="6">
        <v>111.9</v>
      </c>
      <c r="L272" s="6">
        <v>111.9</v>
      </c>
      <c r="M272" s="6">
        <v>111.9</v>
      </c>
      <c r="N272" s="6">
        <v>111.9</v>
      </c>
    </row>
    <row r="273" spans="1:15" ht="15" x14ac:dyDescent="0.25">
      <c r="A273" s="1" t="s">
        <v>79</v>
      </c>
      <c r="B273" s="1"/>
      <c r="C273" s="8">
        <v>986</v>
      </c>
      <c r="D273" s="8">
        <v>653</v>
      </c>
      <c r="E273" s="8">
        <v>473</v>
      </c>
      <c r="F273" s="8">
        <v>446</v>
      </c>
      <c r="G273" s="8">
        <v>307</v>
      </c>
      <c r="H273" s="8">
        <v>224</v>
      </c>
      <c r="I273" s="8">
        <v>179</v>
      </c>
      <c r="J273" s="8">
        <v>246</v>
      </c>
      <c r="K273" s="8">
        <v>268</v>
      </c>
      <c r="L273" s="8">
        <v>446</v>
      </c>
      <c r="M273" s="8">
        <v>826</v>
      </c>
      <c r="N273" s="8">
        <v>1028</v>
      </c>
    </row>
    <row r="274" spans="1:15" ht="15" x14ac:dyDescent="0.25">
      <c r="A274" s="1" t="s">
        <v>80</v>
      </c>
      <c r="B274" s="1"/>
      <c r="C274" s="8">
        <v>532</v>
      </c>
      <c r="D274" s="8">
        <v>0</v>
      </c>
      <c r="E274" s="8">
        <v>0</v>
      </c>
      <c r="F274" s="8">
        <v>0</v>
      </c>
      <c r="G274" s="8">
        <v>0</v>
      </c>
      <c r="H274" s="8">
        <v>9</v>
      </c>
      <c r="I274" s="8">
        <v>0</v>
      </c>
      <c r="J274" s="8">
        <v>0</v>
      </c>
      <c r="K274" s="8">
        <v>0</v>
      </c>
      <c r="L274" s="8">
        <v>169</v>
      </c>
      <c r="M274" s="8">
        <v>549</v>
      </c>
      <c r="N274" s="8">
        <v>395</v>
      </c>
    </row>
    <row r="275" spans="1:15" ht="15" x14ac:dyDescent="0.25">
      <c r="A275" s="16" t="s">
        <v>81</v>
      </c>
      <c r="B275" s="16"/>
      <c r="C275" s="17">
        <v>20411</v>
      </c>
      <c r="D275" s="17">
        <v>10688</v>
      </c>
      <c r="E275" s="17">
        <v>7600</v>
      </c>
      <c r="F275" s="17">
        <v>11379</v>
      </c>
      <c r="G275" s="17">
        <v>11431</v>
      </c>
      <c r="H275" s="17">
        <v>10773</v>
      </c>
      <c r="I275" s="17">
        <v>11445</v>
      </c>
      <c r="J275" s="17">
        <v>11269</v>
      </c>
      <c r="K275" s="17">
        <v>12052</v>
      </c>
      <c r="L275" s="17">
        <v>14310</v>
      </c>
      <c r="M275" s="17">
        <v>17352</v>
      </c>
      <c r="N275" s="17">
        <v>22515</v>
      </c>
    </row>
    <row r="276" spans="1:15" ht="15" x14ac:dyDescent="0.25">
      <c r="A276" s="1" t="s">
        <v>82</v>
      </c>
      <c r="B276" s="1"/>
      <c r="C276" s="18" t="s">
        <v>90</v>
      </c>
      <c r="D276" s="18" t="s">
        <v>90</v>
      </c>
      <c r="E276" s="18" t="s">
        <v>90</v>
      </c>
      <c r="F276" s="18" t="s">
        <v>91</v>
      </c>
      <c r="G276" s="18" t="s">
        <v>91</v>
      </c>
      <c r="H276" s="18" t="s">
        <v>91</v>
      </c>
      <c r="I276" s="18" t="s">
        <v>91</v>
      </c>
      <c r="J276" s="18" t="s">
        <v>91</v>
      </c>
      <c r="K276" s="18" t="s">
        <v>91</v>
      </c>
      <c r="L276" s="18" t="s">
        <v>90</v>
      </c>
      <c r="M276" s="18" t="s">
        <v>90</v>
      </c>
      <c r="N276" s="18" t="s">
        <v>90</v>
      </c>
    </row>
    <row r="277" spans="1:15" ht="15" x14ac:dyDescent="0.25">
      <c r="A277" s="1" t="s">
        <v>83</v>
      </c>
      <c r="B277" s="1"/>
      <c r="C277" s="19">
        <v>0.28999999999999998</v>
      </c>
      <c r="D277" s="19">
        <v>0.11</v>
      </c>
      <c r="E277" s="19">
        <v>0.14000000000000001</v>
      </c>
      <c r="F277" s="19">
        <v>0.16</v>
      </c>
      <c r="G277" s="19">
        <v>0.25</v>
      </c>
      <c r="H277" s="19">
        <v>0.35</v>
      </c>
      <c r="I277" s="19">
        <v>0.54</v>
      </c>
      <c r="J277" s="19">
        <v>0.56999999999999995</v>
      </c>
      <c r="K277" s="19">
        <v>0.6</v>
      </c>
      <c r="L277" s="19">
        <v>0.53</v>
      </c>
      <c r="M277" s="19">
        <v>0.33</v>
      </c>
      <c r="N277" s="19">
        <v>0.27</v>
      </c>
    </row>
    <row r="278" spans="1:15" ht="15" x14ac:dyDescent="0.25">
      <c r="A278" s="1" t="s">
        <v>84</v>
      </c>
      <c r="B278" s="1"/>
      <c r="C278" s="20">
        <v>0.35</v>
      </c>
      <c r="D278" s="20">
        <v>0.35</v>
      </c>
      <c r="E278" s="20">
        <v>0.35</v>
      </c>
      <c r="F278" s="20">
        <v>0.35</v>
      </c>
      <c r="G278" s="20">
        <v>0.65</v>
      </c>
      <c r="H278" s="20">
        <v>0.65</v>
      </c>
      <c r="I278" s="20">
        <v>0.65</v>
      </c>
      <c r="J278" s="20">
        <v>0.65</v>
      </c>
      <c r="K278" s="20">
        <v>0.65</v>
      </c>
      <c r="L278" s="20">
        <v>0.65</v>
      </c>
      <c r="M278" s="20">
        <v>0.65</v>
      </c>
      <c r="N278" s="20">
        <v>0.45</v>
      </c>
    </row>
    <row r="279" spans="1:15" ht="15" x14ac:dyDescent="0.25">
      <c r="A279" s="1" t="s">
        <v>85</v>
      </c>
      <c r="B279" s="1"/>
      <c r="C279" s="6">
        <v>73.2</v>
      </c>
      <c r="D279" s="6">
        <v>74.900000000000006</v>
      </c>
      <c r="E279" s="6">
        <v>78.2</v>
      </c>
      <c r="F279" s="6">
        <v>79.400000000000006</v>
      </c>
      <c r="G279" s="6">
        <v>83</v>
      </c>
      <c r="H279" s="6">
        <v>86.5</v>
      </c>
      <c r="I279" s="6">
        <v>89.2</v>
      </c>
      <c r="J279" s="6">
        <v>87.9</v>
      </c>
      <c r="K279" s="6">
        <v>86.5</v>
      </c>
      <c r="L279" s="6">
        <v>82.4</v>
      </c>
      <c r="M279" s="6">
        <v>76.400000000000006</v>
      </c>
      <c r="N279" s="6">
        <v>71.900000000000006</v>
      </c>
      <c r="O279" s="1"/>
    </row>
    <row r="280" spans="1:15" ht="15" x14ac:dyDescent="0.25">
      <c r="A280" s="1" t="s">
        <v>86</v>
      </c>
    </row>
    <row r="281" spans="1:15" ht="15" x14ac:dyDescent="0.25">
      <c r="A281" s="1"/>
    </row>
    <row r="282" spans="1:15" ht="15.75" x14ac:dyDescent="0.25">
      <c r="A282" s="2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6" spans="1:15" ht="15.75" x14ac:dyDescent="0.25">
      <c r="A286" s="5" t="s">
        <v>87</v>
      </c>
    </row>
    <row r="287" spans="1:15" ht="15.75" x14ac:dyDescent="0.25">
      <c r="A287" s="5" t="s">
        <v>27</v>
      </c>
    </row>
    <row r="288" spans="1:15" ht="15.75" x14ac:dyDescent="0.25">
      <c r="A288" s="5" t="s">
        <v>1</v>
      </c>
    </row>
    <row r="289" spans="1:1" ht="15.75" x14ac:dyDescent="0.25">
      <c r="A289" s="5" t="s">
        <v>41</v>
      </c>
    </row>
    <row r="290" spans="1:1" ht="15.75" x14ac:dyDescent="0.25">
      <c r="A290" s="5" t="s">
        <v>48</v>
      </c>
    </row>
    <row r="291" spans="1:1" ht="15.75" x14ac:dyDescent="0.25">
      <c r="A291" s="5" t="s">
        <v>55</v>
      </c>
    </row>
    <row r="292" spans="1:1" ht="15.75" x14ac:dyDescent="0.25">
      <c r="A292" s="5" t="s">
        <v>88</v>
      </c>
    </row>
    <row r="293" spans="1:1" ht="15.75" x14ac:dyDescent="0.25">
      <c r="A293" s="5" t="s">
        <v>89</v>
      </c>
    </row>
  </sheetData>
  <pageMargins left="0.75" right="0.75" top="1" bottom="1" header="0.5" footer="0.5"/>
  <pageSetup scale="57" fitToHeight="0" orientation="landscape" r:id="rId1"/>
  <headerFooter alignWithMargins="0">
    <oddFooter>&amp;L&amp;D&amp;T&amp;C&amp;F</oddFooter>
  </headerFooter>
  <rowBreaks count="7" manualBreakCount="7">
    <brk id="35" max="15" man="1"/>
    <brk id="69" max="15" man="1"/>
    <brk id="110" max="15" man="1"/>
    <brk id="146" max="15" man="1"/>
    <brk id="186" max="15" man="1"/>
    <brk id="228" max="15" man="1"/>
    <brk id="262" max="15" man="1"/>
  </rowBreaks>
  <drawing r:id="rId2"/>
  <legacyDrawing r:id="rId3"/>
  <controls>
    <mc:AlternateContent xmlns:mc="http://schemas.openxmlformats.org/markup-compatibility/2006">
      <mc:Choice Requires="x14">
        <control shapeId="1026" r:id="rId4" name="CommandButton1">
          <controlPr autoLine="0" autoPict="0" r:id="rId5">
            <anchor moveWithCells="1">
              <from>
                <xdr:col>4</xdr:col>
                <xdr:colOff>466725</xdr:colOff>
                <xdr:row>0</xdr:row>
                <xdr:rowOff>47625</xdr:rowOff>
              </from>
              <to>
                <xdr:col>6</xdr:col>
                <xdr:colOff>219075</xdr:colOff>
                <xdr:row>1</xdr:row>
                <xdr:rowOff>161925</xdr:rowOff>
              </to>
            </anchor>
          </controlPr>
        </control>
      </mc:Choice>
      <mc:Fallback>
        <control shapeId="1026" r:id="rId4" name="CommandButton1"/>
      </mc:Fallback>
    </mc:AlternateContent>
    <mc:AlternateContent xmlns:mc="http://schemas.openxmlformats.org/markup-compatibility/2006">
      <mc:Choice Requires="x14">
        <control shapeId="1025" r:id="rId6" name="ComboBox1">
          <controlPr defaultSize="0" autoLine="0" autoPict="0" linkedCell="B1" listFillRange="A286:A293" r:id="rId7">
            <anchor moveWithCells="1">
              <from>
                <xdr:col>1</xdr:col>
                <xdr:colOff>47625</xdr:colOff>
                <xdr:row>0</xdr:row>
                <xdr:rowOff>0</xdr:rowOff>
              </from>
              <to>
                <xdr:col>3</xdr:col>
                <xdr:colOff>295275</xdr:colOff>
                <xdr:row>1</xdr:row>
                <xdr:rowOff>123825</xdr:rowOff>
              </to>
            </anchor>
          </controlPr>
        </control>
      </mc:Choice>
      <mc:Fallback>
        <control shapeId="1025" r:id="rId6" name="ComboBox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Mar50_WY2018</vt:lpstr>
      <vt:lpstr>Mar50_WY2018!Print_Area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Evans</dc:creator>
  <cp:lastModifiedBy>John F. DeGeorge</cp:lastModifiedBy>
  <dcterms:created xsi:type="dcterms:W3CDTF">2023-04-07T02:01:23Z</dcterms:created>
  <dcterms:modified xsi:type="dcterms:W3CDTF">2023-04-09T15:15:52Z</dcterms:modified>
</cp:coreProperties>
</file>