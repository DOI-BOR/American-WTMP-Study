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ork_2024\USBR_maintenace\WTMP_American\forecast\CVP-ops\"/>
    </mc:Choice>
  </mc:AlternateContent>
  <xr:revisionPtr revIDLastSave="0" documentId="13_ncr:1_{F1FE40FC-2C14-487D-9F31-3A6B359A82ED}" xr6:coauthVersionLast="47" xr6:coauthVersionMax="47" xr10:uidLastSave="{00000000-0000-0000-0000-000000000000}"/>
  <bookViews>
    <workbookView xWindow="2895" yWindow="2655" windowWidth="16410" windowHeight="11910" xr2:uid="{6A8BA9C2-AFB9-4A45-B4E0-ABDCB1C8E7FB}"/>
  </bookViews>
  <sheets>
    <sheet name="Mar50_WY2018" sheetId="1" r:id="rId1"/>
  </sheets>
  <externalReferences>
    <externalReference r:id="rId2"/>
  </externalReferences>
  <definedNames>
    <definedName name="_xlnm.Print_Area" localSheetId="0">Mar50_WY2018!$A$263:$N$280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7" i="1" l="1"/>
  <c r="C155" i="1"/>
  <c r="C149" i="1"/>
  <c r="C156" i="1"/>
  <c r="C153" i="1"/>
  <c r="C152" i="1"/>
  <c r="C151" i="1"/>
  <c r="C150" i="1"/>
  <c r="B120" i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<sst xmlns="http://schemas.openxmlformats.org/spreadsheetml/2006/main" count="231" uniqueCount="93">
  <si>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</si>
  <si>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</si>
  <si>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</si>
  <si>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</si>
  <si>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</si>
  <si>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</si>
  <si>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</si>
  <si>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</si>
  <si>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</si>
  <si>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</si>
  <si>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</si>
  <si>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</si>
  <si>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</si>
  <si>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</si>
  <si>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</si>
  <si>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</si>
  <si>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</si>
  <si>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</si>
  <si>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</si>
  <si>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</si>
  <si>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</si>
  <si>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</si>
  <si>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</si>
  <si>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</si>
  <si>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</si>
  <si>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</si>
  <si>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</si>
  <si>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</si>
  <si>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</si>
  <si>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</si>
  <si>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</si>
  <si>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</si>
  <si>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</si>
  <si>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</si>
  <si>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</si>
  <si>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</si>
  <si>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</si>
  <si>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</si>
  <si>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</si>
  <si>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</si>
  <si>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</si>
  <si>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</si>
  <si>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</si>
  <si>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</si>
  <si>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</si>
  <si>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</si>
  <si>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</si>
  <si>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</si>
  <si>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</si>
  <si>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</si>
  <si>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</si>
  <si>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</si>
  <si>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</si>
  <si>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</si>
  <si>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</si>
  <si>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</si>
  <si>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</si>
  <si>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</si>
  <si>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</si>
  <si>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</si>
  <si>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</si>
  <si>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</si>
  <si>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</si>
  <si>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</si>
  <si>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</si>
  <si>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</si>
  <si>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</si>
  <si>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</si>
  <si>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</si>
  <si>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</si>
  <si>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</si>
  <si>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</si>
  <si>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</si>
  <si>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</si>
  <si>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</si>
  <si>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</si>
  <si>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</si>
  <si>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</si>
  <si>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</si>
  <si>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</si>
  <si>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</si>
  <si>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</si>
  <si>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</si>
  <si>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</si>
  <si>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</si>
  <si>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</si>
  <si>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</si>
  <si>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</si>
  <si>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</si>
  <si>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</si>
  <si>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closed</t>
  </si>
  <si>
    <t>open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</si>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</sst>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  <xf numFmtId="15" fontId="3" fillId="0" borderId="0" xfId="1" applyNumberFormat="1" applyFont="1"/>
    <xf numFmtId="2" fontId="2" fillId="0" borderId="0" xfId="1" applyNumberFormat="1" applyFont="1"/>
  </cellXfs>
  <cellStyles count="3">
    <cellStyle name="Normal" xfId="0" builtinId="0"/>
    <cellStyle name="Normal 2" xfId="1" xr:uid="{C8BD419C-4A23-4DE9-845A-894C701F5F2E}"/>
    <cellStyle name="Percent 2" xfId="2" xr:uid="{97FB355A-F2DC-4192-A18E-C0521A9CC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Mar50_WY2018!$C$5:$N$5</c:f>
              <c:numCache>
                <c:formatCode>General</c:formatCode>
                <c:ptCount val="12"/>
                <c:pt idx="0">
                  <c:v>117</c:v>
                </c:pt>
                <c:pt idx="1">
                  <c:v>166</c:v>
                </c:pt>
                <c:pt idx="2">
                  <c:v>103</c:v>
                </c:pt>
                <c:pt idx="3">
                  <c:v>35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14</c:v>
                </c:pt>
                <c:pt idx="8">
                  <c:v>32</c:v>
                </c:pt>
                <c:pt idx="9">
                  <c:v>58</c:v>
                </c:pt>
                <c:pt idx="10">
                  <c:v>85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5-423C-AF51-085989C8D8B3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Mar50_WY2018!$C$7:$N$7</c:f>
              <c:numCache>
                <c:formatCode>0.0</c:formatCode>
                <c:ptCount val="12"/>
                <c:pt idx="0">
                  <c:v>53</c:v>
                </c:pt>
                <c:pt idx="1">
                  <c:v>72</c:v>
                </c:pt>
                <c:pt idx="2">
                  <c:v>203.7</c:v>
                </c:pt>
                <c:pt idx="3">
                  <c:v>117.6</c:v>
                </c:pt>
                <c:pt idx="4">
                  <c:v>111.3</c:v>
                </c:pt>
                <c:pt idx="5">
                  <c:v>137.19999999999999</c:v>
                </c:pt>
                <c:pt idx="6">
                  <c:v>127.7</c:v>
                </c:pt>
                <c:pt idx="7">
                  <c:v>48.9</c:v>
                </c:pt>
                <c:pt idx="8">
                  <c:v>43.2</c:v>
                </c:pt>
                <c:pt idx="9">
                  <c:v>27</c:v>
                </c:pt>
                <c:pt idx="10">
                  <c:v>18.7</c:v>
                </c:pt>
                <c:pt idx="11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5352"/>
        <c:axId val="47234574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Mar50_WY2018!$C$11:$N$11</c:f>
              <c:numCache>
                <c:formatCode>0.0</c:formatCode>
                <c:ptCount val="12"/>
                <c:pt idx="0">
                  <c:v>1848.4</c:v>
                </c:pt>
                <c:pt idx="1">
                  <c:v>1937.3</c:v>
                </c:pt>
                <c:pt idx="2">
                  <c:v>1829.8</c:v>
                </c:pt>
                <c:pt idx="3">
                  <c:v>1739.6</c:v>
                </c:pt>
                <c:pt idx="4">
                  <c:v>1630.6</c:v>
                </c:pt>
                <c:pt idx="5">
                  <c:v>1491.8</c:v>
                </c:pt>
                <c:pt idx="6">
                  <c:v>1362.4</c:v>
                </c:pt>
                <c:pt idx="7">
                  <c:v>1324.4</c:v>
                </c:pt>
                <c:pt idx="8">
                  <c:v>1311.6</c:v>
                </c:pt>
                <c:pt idx="9">
                  <c:v>1341.7</c:v>
                </c:pt>
                <c:pt idx="10">
                  <c:v>1406.3</c:v>
                </c:pt>
                <c:pt idx="11">
                  <c:v>1516.7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5-423C-AF51-085989C8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6136"/>
        <c:axId val="472346528"/>
      </c:lineChart>
      <c:catAx>
        <c:axId val="47234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5352"/>
        <c:crosses val="autoZero"/>
        <c:crossBetween val="between"/>
      </c:valAx>
      <c:catAx>
        <c:axId val="47234613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6528"/>
        <c:crosses val="autoZero"/>
        <c:auto val="0"/>
        <c:lblAlgn val="ctr"/>
        <c:lblOffset val="100"/>
        <c:noMultiLvlLbl val="0"/>
      </c:catAx>
      <c:valAx>
        <c:axId val="4723465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6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Mar50_WY2018!$C$38:$N$38</c:f>
              <c:numCache>
                <c:formatCode>General</c:formatCode>
                <c:ptCount val="12"/>
                <c:pt idx="0">
                  <c:v>38</c:v>
                </c:pt>
                <c:pt idx="1">
                  <c:v>25</c:v>
                </c:pt>
                <c:pt idx="2">
                  <c:v>16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16</c:v>
                </c:pt>
                <c:pt idx="10">
                  <c:v>35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4-4ADF-82BA-0C2F0A2E8195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Mar50_WY2018!$C$40:$N$40</c:f>
              <c:numCache>
                <c:formatCode>0.0</c:formatCode>
                <c:ptCount val="12"/>
                <c:pt idx="0">
                  <c:v>72.3</c:v>
                </c:pt>
                <c:pt idx="1">
                  <c:v>28</c:v>
                </c:pt>
                <c:pt idx="2">
                  <c:v>38.299999999999997</c:v>
                </c:pt>
                <c:pt idx="3">
                  <c:v>77.099999999999994</c:v>
                </c:pt>
                <c:pt idx="4">
                  <c:v>84.2</c:v>
                </c:pt>
                <c:pt idx="5">
                  <c:v>84.2</c:v>
                </c:pt>
                <c:pt idx="6">
                  <c:v>83.9</c:v>
                </c:pt>
                <c:pt idx="7">
                  <c:v>52.3</c:v>
                </c:pt>
                <c:pt idx="8">
                  <c:v>31.9</c:v>
                </c:pt>
                <c:pt idx="9">
                  <c:v>24.3</c:v>
                </c:pt>
                <c:pt idx="10">
                  <c:v>34.799999999999997</c:v>
                </c:pt>
                <c:pt idx="11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47312"/>
        <c:axId val="47234770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Mar50_WY2018!$C$42:$N$42</c:f>
              <c:numCache>
                <c:formatCode>0</c:formatCode>
                <c:ptCount val="12"/>
                <c:pt idx="0">
                  <c:v>206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238</c:v>
                </c:pt>
                <c:pt idx="6">
                  <c:v>230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4-4ADF-82BA-0C2F0A2E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348096"/>
        <c:axId val="472348488"/>
      </c:lineChart>
      <c:catAx>
        <c:axId val="47234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7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234770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7312"/>
        <c:crosses val="autoZero"/>
        <c:crossBetween val="between"/>
        <c:majorUnit val="50"/>
        <c:minorUnit val="5"/>
      </c:valAx>
      <c:catAx>
        <c:axId val="472348096"/>
        <c:scaling>
          <c:orientation val="minMax"/>
        </c:scaling>
        <c:delete val="1"/>
        <c:axPos val="b"/>
        <c:majorTickMark val="out"/>
        <c:minorTickMark val="none"/>
        <c:tickLblPos val="none"/>
        <c:crossAx val="472348488"/>
        <c:crosses val="autoZero"/>
        <c:auto val="0"/>
        <c:lblAlgn val="ctr"/>
        <c:lblOffset val="100"/>
        <c:noMultiLvlLbl val="0"/>
      </c:catAx>
      <c:valAx>
        <c:axId val="47234848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34809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Mar50_WY2018!$C$72:$N$72</c:f>
              <c:numCache>
                <c:formatCode>General</c:formatCode>
                <c:ptCount val="12"/>
                <c:pt idx="0">
                  <c:v>600</c:v>
                </c:pt>
                <c:pt idx="1">
                  <c:v>460</c:v>
                </c:pt>
                <c:pt idx="2">
                  <c:v>355</c:v>
                </c:pt>
                <c:pt idx="3">
                  <c:v>240</c:v>
                </c:pt>
                <c:pt idx="4">
                  <c:v>195</c:v>
                </c:pt>
                <c:pt idx="5">
                  <c:v>178</c:v>
                </c:pt>
                <c:pt idx="6">
                  <c:v>177</c:v>
                </c:pt>
                <c:pt idx="7">
                  <c:v>240</c:v>
                </c:pt>
                <c:pt idx="8">
                  <c:v>300</c:v>
                </c:pt>
                <c:pt idx="9">
                  <c:v>380</c:v>
                </c:pt>
                <c:pt idx="10">
                  <c:v>590</c:v>
                </c:pt>
                <c:pt idx="1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7-4995-825B-05BA34B6391C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Mar50_WY2018!$C$74:$N$74</c:f>
              <c:numCache>
                <c:formatCode>0</c:formatCode>
                <c:ptCount val="12"/>
                <c:pt idx="0">
                  <c:v>140</c:v>
                </c:pt>
                <c:pt idx="1">
                  <c:v>416</c:v>
                </c:pt>
                <c:pt idx="2">
                  <c:v>436</c:v>
                </c:pt>
                <c:pt idx="3">
                  <c:v>624</c:v>
                </c:pt>
                <c:pt idx="4">
                  <c:v>724</c:v>
                </c:pt>
                <c:pt idx="5">
                  <c:v>540</c:v>
                </c:pt>
                <c:pt idx="6">
                  <c:v>401</c:v>
                </c:pt>
                <c:pt idx="7">
                  <c:v>329</c:v>
                </c:pt>
                <c:pt idx="8">
                  <c:v>307</c:v>
                </c:pt>
                <c:pt idx="9">
                  <c:v>234</c:v>
                </c:pt>
                <c:pt idx="10">
                  <c:v>180</c:v>
                </c:pt>
                <c:pt idx="1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2968"/>
        <c:axId val="47632336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Mar50_WY2018!$C$70:$N$70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Mar50_WY2018!$C$78:$N$78</c:f>
              <c:numCache>
                <c:formatCode>0</c:formatCode>
                <c:ptCount val="12"/>
                <c:pt idx="0">
                  <c:v>3869</c:v>
                </c:pt>
                <c:pt idx="1">
                  <c:v>3903</c:v>
                </c:pt>
                <c:pt idx="2">
                  <c:v>3808</c:v>
                </c:pt>
                <c:pt idx="3">
                  <c:v>3408</c:v>
                </c:pt>
                <c:pt idx="4">
                  <c:v>2860</c:v>
                </c:pt>
                <c:pt idx="5">
                  <c:v>2483</c:v>
                </c:pt>
                <c:pt idx="6">
                  <c:v>2248</c:v>
                </c:pt>
                <c:pt idx="7">
                  <c:v>2153</c:v>
                </c:pt>
                <c:pt idx="8">
                  <c:v>2143</c:v>
                </c:pt>
                <c:pt idx="9">
                  <c:v>2288</c:v>
                </c:pt>
                <c:pt idx="10">
                  <c:v>2695</c:v>
                </c:pt>
                <c:pt idx="11">
                  <c:v>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A7-4995-825B-05BA34B6391C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3872</c:v>
                </c:pt>
                <c:pt idx="11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A7-4995-825B-05BA34B6391C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3412</c:v>
                </c:pt>
                <c:pt idx="1">
                  <c:v>3852</c:v>
                </c:pt>
                <c:pt idx="2">
                  <c:v>4322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A7-4995-825B-05BA34B6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3752"/>
        <c:axId val="476324144"/>
      </c:lineChart>
      <c:catAx>
        <c:axId val="476322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3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3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2968"/>
        <c:crosses val="autoZero"/>
        <c:crossBetween val="between"/>
        <c:majorUnit val="200"/>
      </c:valAx>
      <c:catAx>
        <c:axId val="476323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4144"/>
        <c:crosses val="autoZero"/>
        <c:auto val="0"/>
        <c:lblAlgn val="ctr"/>
        <c:lblOffset val="100"/>
        <c:noMultiLvlLbl val="0"/>
      </c:catAx>
      <c:valAx>
        <c:axId val="47632414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375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Mar50_WY2018!$C$113:$N$113</c:f>
              <c:numCache>
                <c:formatCode>0</c:formatCode>
                <c:ptCount val="12"/>
                <c:pt idx="0">
                  <c:v>250</c:v>
                </c:pt>
                <c:pt idx="1">
                  <c:v>130</c:v>
                </c:pt>
                <c:pt idx="2">
                  <c:v>116</c:v>
                </c:pt>
                <c:pt idx="3">
                  <c:v>89</c:v>
                </c:pt>
                <c:pt idx="4">
                  <c:v>118</c:v>
                </c:pt>
                <c:pt idx="5">
                  <c:v>121</c:v>
                </c:pt>
                <c:pt idx="6">
                  <c:v>126</c:v>
                </c:pt>
                <c:pt idx="7">
                  <c:v>120</c:v>
                </c:pt>
                <c:pt idx="8">
                  <c:v>170</c:v>
                </c:pt>
                <c:pt idx="9">
                  <c:v>220</c:v>
                </c:pt>
                <c:pt idx="10">
                  <c:v>320</c:v>
                </c:pt>
                <c:pt idx="1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6-4AFF-B48D-97859EC44404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Mar50_WY2018!$C$115:$N$115</c:f>
              <c:numCache>
                <c:formatCode>0</c:formatCode>
                <c:ptCount val="12"/>
                <c:pt idx="0">
                  <c:v>108</c:v>
                </c:pt>
                <c:pt idx="1">
                  <c:v>147</c:v>
                </c:pt>
                <c:pt idx="2">
                  <c:v>251</c:v>
                </c:pt>
                <c:pt idx="3">
                  <c:v>270</c:v>
                </c:pt>
                <c:pt idx="4">
                  <c:v>312</c:v>
                </c:pt>
                <c:pt idx="5">
                  <c:v>269</c:v>
                </c:pt>
                <c:pt idx="6">
                  <c:v>141</c:v>
                </c:pt>
                <c:pt idx="7">
                  <c:v>150</c:v>
                </c:pt>
                <c:pt idx="8">
                  <c:v>190</c:v>
                </c:pt>
                <c:pt idx="9">
                  <c:v>157</c:v>
                </c:pt>
                <c:pt idx="10">
                  <c:v>96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4928"/>
        <c:axId val="476325320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2788</c:v>
                </c:pt>
                <c:pt idx="1">
                  <c:v>3083</c:v>
                </c:pt>
                <c:pt idx="2">
                  <c:v>3388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3148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4928"/>
        <c:axId val="476325320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3163</c:v>
                </c:pt>
                <c:pt idx="1">
                  <c:v>3458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3343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6-4AFF-B48D-97859EC44404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Mar50_WY2018!$C$116:$N$116</c:f>
              <c:numCache>
                <c:formatCode>0</c:formatCode>
                <c:ptCount val="12"/>
                <c:pt idx="0">
                  <c:v>1601</c:v>
                </c:pt>
                <c:pt idx="1">
                  <c:v>1580</c:v>
                </c:pt>
                <c:pt idx="2">
                  <c:v>1441</c:v>
                </c:pt>
                <c:pt idx="3">
                  <c:v>1255</c:v>
                </c:pt>
                <c:pt idx="4">
                  <c:v>1055</c:v>
                </c:pt>
                <c:pt idx="5">
                  <c:v>902</c:v>
                </c:pt>
                <c:pt idx="6">
                  <c:v>883</c:v>
                </c:pt>
                <c:pt idx="7">
                  <c:v>851</c:v>
                </c:pt>
                <c:pt idx="8">
                  <c:v>830</c:v>
                </c:pt>
                <c:pt idx="9">
                  <c:v>892</c:v>
                </c:pt>
                <c:pt idx="10">
                  <c:v>1114</c:v>
                </c:pt>
                <c:pt idx="11">
                  <c:v>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06-4AFF-B48D-97859EC4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5712"/>
        <c:axId val="476326104"/>
      </c:lineChart>
      <c:catAx>
        <c:axId val="4763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5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4928"/>
        <c:crosses val="autoZero"/>
        <c:crossBetween val="between"/>
        <c:majorUnit val="500"/>
      </c:valAx>
      <c:catAx>
        <c:axId val="476325712"/>
        <c:scaling>
          <c:orientation val="minMax"/>
        </c:scaling>
        <c:delete val="1"/>
        <c:axPos val="b"/>
        <c:majorTickMark val="out"/>
        <c:minorTickMark val="none"/>
        <c:tickLblPos val="none"/>
        <c:crossAx val="476326104"/>
        <c:crosses val="autoZero"/>
        <c:auto val="0"/>
        <c:lblAlgn val="ctr"/>
        <c:lblOffset val="100"/>
        <c:noMultiLvlLbl val="0"/>
      </c:catAx>
      <c:valAx>
        <c:axId val="476326104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5712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Mar50_WY2018!$C$149:$N$149</c:f>
              <c:numCache>
                <c:formatCode>General</c:formatCode>
                <c:ptCount val="12"/>
                <c:pt idx="0" formatCode="0.00">
                  <c:v>38.12903225806452</c:v>
                </c:pt>
                <c:pt idx="1">
                  <c:v>171</c:v>
                </c:pt>
                <c:pt idx="2">
                  <c:v>160</c:v>
                </c:pt>
                <c:pt idx="3">
                  <c:v>87</c:v>
                </c:pt>
                <c:pt idx="4">
                  <c:v>76</c:v>
                </c:pt>
                <c:pt idx="5">
                  <c:v>80</c:v>
                </c:pt>
                <c:pt idx="6">
                  <c:v>69</c:v>
                </c:pt>
                <c:pt idx="7">
                  <c:v>90</c:v>
                </c:pt>
                <c:pt idx="8">
                  <c:v>100</c:v>
                </c:pt>
                <c:pt idx="9">
                  <c:v>120</c:v>
                </c:pt>
                <c:pt idx="10">
                  <c:v>160</c:v>
                </c:pt>
                <c:pt idx="1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0C4-9ED9-DA0366C2257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Mar50_WY2018!$C$151:$N$151</c:f>
              <c:numCache>
                <c:formatCode>0.0</c:formatCode>
                <c:ptCount val="12"/>
                <c:pt idx="0">
                  <c:v>25.296774193548384</c:v>
                </c:pt>
                <c:pt idx="1">
                  <c:v>180</c:v>
                </c:pt>
                <c:pt idx="2">
                  <c:v>125.1</c:v>
                </c:pt>
                <c:pt idx="3">
                  <c:v>191.3</c:v>
                </c:pt>
                <c:pt idx="4">
                  <c:v>158.6</c:v>
                </c:pt>
                <c:pt idx="5">
                  <c:v>146</c:v>
                </c:pt>
                <c:pt idx="6">
                  <c:v>87.9</c:v>
                </c:pt>
                <c:pt idx="7">
                  <c:v>89.2</c:v>
                </c:pt>
                <c:pt idx="8">
                  <c:v>83.7</c:v>
                </c:pt>
                <c:pt idx="9">
                  <c:v>84.3</c:v>
                </c:pt>
                <c:pt idx="10">
                  <c:v>84.3</c:v>
                </c:pt>
                <c:pt idx="11">
                  <c:v>118.5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6888"/>
        <c:axId val="47632728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Mar50_WY2018!$C$157:$N$157</c:f>
              <c:numCache>
                <c:formatCode>0</c:formatCode>
                <c:ptCount val="12"/>
                <c:pt idx="0">
                  <c:v>591</c:v>
                </c:pt>
                <c:pt idx="1">
                  <c:v>578</c:v>
                </c:pt>
                <c:pt idx="2">
                  <c:v>609</c:v>
                </c:pt>
                <c:pt idx="3">
                  <c:v>499</c:v>
                </c:pt>
                <c:pt idx="4">
                  <c:v>410</c:v>
                </c:pt>
                <c:pt idx="5">
                  <c:v>339</c:v>
                </c:pt>
                <c:pt idx="6">
                  <c:v>316</c:v>
                </c:pt>
                <c:pt idx="7">
                  <c:v>315</c:v>
                </c:pt>
                <c:pt idx="8">
                  <c:v>331</c:v>
                </c:pt>
                <c:pt idx="9">
                  <c:v>366</c:v>
                </c:pt>
                <c:pt idx="10">
                  <c:v>440</c:v>
                </c:pt>
                <c:pt idx="11">
                  <c:v>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A-40C4-9ED9-DA0366C2257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565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605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AA-40C4-9ED9-DA0366C2257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675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700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AA-40C4-9ED9-DA0366C22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7672"/>
        <c:axId val="476328064"/>
      </c:lineChart>
      <c:catAx>
        <c:axId val="476326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2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7280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6888"/>
        <c:crosses val="autoZero"/>
        <c:crossBetween val="between"/>
        <c:majorUnit val="200"/>
      </c:valAx>
      <c:catAx>
        <c:axId val="476327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28064"/>
        <c:crosses val="autoZero"/>
        <c:auto val="0"/>
        <c:lblAlgn val="ctr"/>
        <c:lblOffset val="100"/>
        <c:noMultiLvlLbl val="0"/>
      </c:catAx>
      <c:valAx>
        <c:axId val="476328064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7672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Mar50_WY2018!$C$189:$N$189</c:f>
              <c:numCache>
                <c:formatCode>0</c:formatCode>
                <c:ptCount val="12"/>
                <c:pt idx="0">
                  <c:v>75</c:v>
                </c:pt>
                <c:pt idx="1">
                  <c:v>103</c:v>
                </c:pt>
                <c:pt idx="2">
                  <c:v>108</c:v>
                </c:pt>
                <c:pt idx="3">
                  <c:v>72</c:v>
                </c:pt>
                <c:pt idx="4">
                  <c:v>43</c:v>
                </c:pt>
                <c:pt idx="5">
                  <c:v>38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50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9-4752-95C9-ADBDBE9026D6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Mar50_WY2018!$C$191:$N$191</c:f>
              <c:numCache>
                <c:formatCode>0</c:formatCode>
                <c:ptCount val="12"/>
                <c:pt idx="0">
                  <c:v>54</c:v>
                </c:pt>
                <c:pt idx="1">
                  <c:v>165</c:v>
                </c:pt>
                <c:pt idx="2">
                  <c:v>195</c:v>
                </c:pt>
                <c:pt idx="3">
                  <c:v>127</c:v>
                </c:pt>
                <c:pt idx="4">
                  <c:v>105</c:v>
                </c:pt>
                <c:pt idx="5">
                  <c:v>90</c:v>
                </c:pt>
                <c:pt idx="6">
                  <c:v>69</c:v>
                </c:pt>
                <c:pt idx="7">
                  <c:v>71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328848"/>
        <c:axId val="47632924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Mar50_WY2018!$C$197:$N$197</c:f>
              <c:numCache>
                <c:formatCode>0</c:formatCode>
                <c:ptCount val="12"/>
                <c:pt idx="0">
                  <c:v>1939</c:v>
                </c:pt>
                <c:pt idx="1">
                  <c:v>1872</c:v>
                </c:pt>
                <c:pt idx="2">
                  <c:v>1780</c:v>
                </c:pt>
                <c:pt idx="3">
                  <c:v>1719</c:v>
                </c:pt>
                <c:pt idx="4">
                  <c:v>1649</c:v>
                </c:pt>
                <c:pt idx="5">
                  <c:v>1590</c:v>
                </c:pt>
                <c:pt idx="6">
                  <c:v>1551</c:v>
                </c:pt>
                <c:pt idx="7">
                  <c:v>1512</c:v>
                </c:pt>
                <c:pt idx="8">
                  <c:v>1534</c:v>
                </c:pt>
                <c:pt idx="9">
                  <c:v>1561</c:v>
                </c:pt>
                <c:pt idx="10">
                  <c:v>1595</c:v>
                </c:pt>
                <c:pt idx="11">
                  <c:v>1651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9-4752-95C9-ADBDBE9026D6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1970</c:v>
                </c:pt>
                <c:pt idx="3">
                  <c:v>2200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9-4752-95C9-ADBDBE9026D6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2040</c:v>
                </c:pt>
                <c:pt idx="1">
                  <c:v>2230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C9-4752-95C9-ADBDBE90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329632"/>
        <c:axId val="476330024"/>
      </c:lineChart>
      <c:catAx>
        <c:axId val="47632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2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6329240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8848"/>
        <c:crosses val="autoZero"/>
        <c:crossBetween val="between"/>
        <c:majorUnit val="250"/>
      </c:valAx>
      <c:catAx>
        <c:axId val="47632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76330024"/>
        <c:crosses val="autoZero"/>
        <c:auto val="0"/>
        <c:lblAlgn val="ctr"/>
        <c:lblOffset val="100"/>
        <c:noMultiLvlLbl val="0"/>
      </c:catAx>
      <c:valAx>
        <c:axId val="476330024"/>
        <c:scaling>
          <c:orientation val="minMax"/>
          <c:max val="2500"/>
          <c:min val="5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329632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Mar50_WY2018!$A$232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Mar50_WY2018!$C$232:$N$232</c:f>
              <c:numCache>
                <c:formatCode>#,##0</c:formatCode>
                <c:ptCount val="12"/>
                <c:pt idx="0">
                  <c:v>902</c:v>
                </c:pt>
                <c:pt idx="1">
                  <c:v>802</c:v>
                </c:pt>
                <c:pt idx="2">
                  <c:v>627</c:v>
                </c:pt>
                <c:pt idx="3">
                  <c:v>359</c:v>
                </c:pt>
                <c:pt idx="4">
                  <c:v>127</c:v>
                </c:pt>
                <c:pt idx="5">
                  <c:v>31</c:v>
                </c:pt>
                <c:pt idx="6">
                  <c:v>105</c:v>
                </c:pt>
                <c:pt idx="7">
                  <c:v>237</c:v>
                </c:pt>
                <c:pt idx="8">
                  <c:v>432</c:v>
                </c:pt>
                <c:pt idx="9">
                  <c:v>653</c:v>
                </c:pt>
                <c:pt idx="10">
                  <c:v>806</c:v>
                </c:pt>
                <c:pt idx="11">
                  <c:v>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A-4C6E-AD31-EEA74F9FB733}"/>
            </c:ext>
          </c:extLst>
        </c:ser>
        <c:ser>
          <c:idx val="1"/>
          <c:order val="1"/>
          <c:tx>
            <c:strRef>
              <c:f>Mar50_WY2018!$A$234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Mar50_WY2018!$C$234:$N$234</c:f>
              <c:numCache>
                <c:formatCode>#,##0</c:formatCode>
                <c:ptCount val="12"/>
                <c:pt idx="0">
                  <c:v>806</c:v>
                </c:pt>
                <c:pt idx="1">
                  <c:v>736</c:v>
                </c:pt>
                <c:pt idx="2">
                  <c:v>663</c:v>
                </c:pt>
                <c:pt idx="3">
                  <c:v>604</c:v>
                </c:pt>
                <c:pt idx="4">
                  <c:v>545</c:v>
                </c:pt>
                <c:pt idx="5">
                  <c:v>474</c:v>
                </c:pt>
                <c:pt idx="6">
                  <c:v>528</c:v>
                </c:pt>
                <c:pt idx="7">
                  <c:v>632</c:v>
                </c:pt>
                <c:pt idx="8">
                  <c:v>790</c:v>
                </c:pt>
                <c:pt idx="9">
                  <c:v>999</c:v>
                </c:pt>
                <c:pt idx="10">
                  <c:v>1025</c:v>
                </c:pt>
                <c:pt idx="11">
                  <c:v>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A-4C6E-AD31-EEA74F9FB733}"/>
            </c:ext>
          </c:extLst>
        </c:ser>
        <c:ser>
          <c:idx val="2"/>
          <c:order val="2"/>
          <c:tx>
            <c:strRef>
              <c:f>Mar50_WY2018!$A$235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Mar50_WY2018!$C$229:$N$229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Mar50_WY2018!$C$235:$N$235</c:f>
              <c:numCache>
                <c:formatCode>#,##0</c:formatCode>
                <c:ptCount val="12"/>
                <c:pt idx="0">
                  <c:v>1708</c:v>
                </c:pt>
                <c:pt idx="1">
                  <c:v>1538</c:v>
                </c:pt>
                <c:pt idx="2">
                  <c:v>1290</c:v>
                </c:pt>
                <c:pt idx="3">
                  <c:v>963</c:v>
                </c:pt>
                <c:pt idx="4">
                  <c:v>672</c:v>
                </c:pt>
                <c:pt idx="5">
                  <c:v>505</c:v>
                </c:pt>
                <c:pt idx="6">
                  <c:v>633</c:v>
                </c:pt>
                <c:pt idx="7">
                  <c:v>869</c:v>
                </c:pt>
                <c:pt idx="8">
                  <c:v>1222</c:v>
                </c:pt>
                <c:pt idx="9">
                  <c:v>1652</c:v>
                </c:pt>
                <c:pt idx="10">
                  <c:v>1831</c:v>
                </c:pt>
                <c:pt idx="11">
                  <c:v>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A-4C6E-AD31-EEA74F9F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217232"/>
        <c:axId val="471217624"/>
      </c:lineChart>
      <c:dateAx>
        <c:axId val="471217232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6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71217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1217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0</xdr:row>
          <xdr:rowOff>0</xdr:rowOff>
        </xdr:from>
        <xdr:to>
          <xdr:col>3</xdr:col>
          <xdr:colOff>79798</xdr:colOff>
          <xdr:row>1</xdr:row>
          <xdr:rowOff>133350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464820</xdr:colOff>
          <xdr:row>0</xdr:row>
          <xdr:rowOff>45720</xdr:rowOff>
        </xdr:from>
        <xdr:to>
          <xdr:col>6</xdr:col>
          <xdr:colOff>211455</xdr:colOff>
          <xdr:row>1</xdr:row>
          <xdr:rowOff>171450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Mar\50\Mar50_WY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206</v>
          </cell>
        </row>
      </sheetData>
      <sheetData sheetId="1" refreshError="1"/>
      <sheetData sheetId="2" refreshError="1"/>
      <sheetData sheetId="3">
        <row r="3">
          <cell r="C3">
            <v>43160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117</v>
          </cell>
        </row>
      </sheetData>
      <sheetData sheetId="17">
        <row r="22">
          <cell r="B22">
            <v>3412</v>
          </cell>
          <cell r="C22">
            <v>3852</v>
          </cell>
          <cell r="D22">
            <v>4322</v>
          </cell>
          <cell r="E22">
            <v>4552</v>
          </cell>
          <cell r="F22">
            <v>4552</v>
          </cell>
          <cell r="G22">
            <v>4552</v>
          </cell>
          <cell r="H22">
            <v>4552</v>
          </cell>
          <cell r="I22">
            <v>3882</v>
          </cell>
          <cell r="J22">
            <v>3252</v>
          </cell>
          <cell r="K22">
            <v>3252</v>
          </cell>
          <cell r="L22">
            <v>3252</v>
          </cell>
          <cell r="M22">
            <v>3252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4552</v>
          </cell>
          <cell r="I23">
            <v>3882</v>
          </cell>
          <cell r="J23">
            <v>3252</v>
          </cell>
          <cell r="K23">
            <v>3252</v>
          </cell>
          <cell r="L23">
            <v>3872</v>
          </cell>
          <cell r="M23">
            <v>4252</v>
          </cell>
        </row>
        <row r="24">
          <cell r="B24">
            <v>2788</v>
          </cell>
          <cell r="C24">
            <v>3083</v>
          </cell>
          <cell r="D24">
            <v>3388</v>
          </cell>
          <cell r="E24">
            <v>3538</v>
          </cell>
          <cell r="F24">
            <v>3538</v>
          </cell>
          <cell r="G24">
            <v>3538</v>
          </cell>
          <cell r="H24">
            <v>3148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3163</v>
          </cell>
          <cell r="C25">
            <v>3458</v>
          </cell>
          <cell r="D25">
            <v>3538</v>
          </cell>
          <cell r="E25">
            <v>3538</v>
          </cell>
          <cell r="F25">
            <v>3538</v>
          </cell>
          <cell r="G25">
            <v>3538</v>
          </cell>
          <cell r="H25">
            <v>3343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2040</v>
          </cell>
          <cell r="C26">
            <v>2230</v>
          </cell>
          <cell r="D26">
            <v>2420</v>
          </cell>
          <cell r="E26">
            <v>2420</v>
          </cell>
          <cell r="F26">
            <v>2420</v>
          </cell>
          <cell r="G26">
            <v>2420</v>
          </cell>
          <cell r="H26">
            <v>2270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1970</v>
          </cell>
        </row>
        <row r="27">
          <cell r="B27">
            <v>1970</v>
          </cell>
          <cell r="C27">
            <v>1970</v>
          </cell>
          <cell r="D27">
            <v>1970</v>
          </cell>
          <cell r="E27">
            <v>2200</v>
          </cell>
          <cell r="F27">
            <v>2420</v>
          </cell>
          <cell r="G27">
            <v>2420</v>
          </cell>
          <cell r="H27">
            <v>2270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675</v>
          </cell>
          <cell r="C28">
            <v>805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975</v>
          </cell>
          <cell r="I28">
            <v>700</v>
          </cell>
          <cell r="J28">
            <v>575</v>
          </cell>
          <cell r="K28">
            <v>575</v>
          </cell>
          <cell r="L28">
            <v>575</v>
          </cell>
          <cell r="M28">
            <v>575</v>
          </cell>
        </row>
        <row r="29">
          <cell r="B29">
            <v>565</v>
          </cell>
          <cell r="C29">
            <v>805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975</v>
          </cell>
          <cell r="I29">
            <v>605</v>
          </cell>
          <cell r="J29">
            <v>305</v>
          </cell>
          <cell r="K29">
            <v>305</v>
          </cell>
          <cell r="L29">
            <v>305</v>
          </cell>
          <cell r="M29">
            <v>305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B793-3C87-4C8D-8B04-8DFF7F937B66}">
  <sheetPr codeName="Sheet1">
    <pageSetUpPr fitToPage="1"/>
  </sheetPr>
  <dimension ref="A1:AA293"/>
  <sheetViews>
    <sheetView tabSelected="1" zoomScale="90" zoomScaleNormal="90" zoomScaleSheetLayoutView="70" workbookViewId="0">
      <pane ySplit="2" topLeftCell="A136" activePane="bottomLeft" state="frozen"/>
      <selection activeCell="B26" sqref="B26"/>
      <selection pane="bottomLeft" activeCell="D152" sqref="D152"/>
    </sheetView>
  </sheetViews>
  <sheetFormatPr defaultColWidth="8.88671875" defaultRowHeight="13.2" x14ac:dyDescent="0.25"/>
  <cols>
    <col min="1" max="1" width="24" style="2" customWidth="1"/>
    <col min="2" max="2" width="11.44140625" style="2" customWidth="1"/>
    <col min="3" max="3" width="17.77734375" style="2" bestFit="1" customWidth="1"/>
    <col min="4" max="14" width="14.5546875" style="2" bestFit="1" customWidth="1"/>
    <col min="15" max="16384" width="8.88671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6" x14ac:dyDescent="0.3">
      <c r="A3" s="1"/>
      <c r="C3" s="4" t="s">
        <v>12</v>
      </c>
      <c r="D3" s="4" t="s">
        <v>14</v>
      </c>
      <c r="E3" s="4" t="s">
        <v>16</v>
      </c>
      <c r="F3" s="4" t="s">
        <v>18</v>
      </c>
      <c r="G3" s="4" t="s">
        <v>92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8</v>
      </c>
      <c r="N3" s="4" t="s">
        <v>10</v>
      </c>
      <c r="O3" s="1"/>
      <c r="AA3" s="2" t="s">
        <v>2</v>
      </c>
    </row>
    <row r="4" spans="1:27" ht="15.6" x14ac:dyDescent="0.3">
      <c r="A4" s="5" t="s">
        <v>3</v>
      </c>
      <c r="B4" s="22">
        <v>43184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3.8" x14ac:dyDescent="0.25">
      <c r="A5" s="3" t="s">
        <v>5</v>
      </c>
      <c r="B5" s="1"/>
      <c r="C5" s="1">
        <v>117</v>
      </c>
      <c r="D5" s="1">
        <v>166</v>
      </c>
      <c r="E5" s="1">
        <v>103</v>
      </c>
      <c r="F5" s="1">
        <v>35</v>
      </c>
      <c r="G5" s="1">
        <v>12</v>
      </c>
      <c r="H5" s="1">
        <v>7</v>
      </c>
      <c r="I5" s="1">
        <v>5</v>
      </c>
      <c r="J5" s="1">
        <v>14</v>
      </c>
      <c r="K5" s="1">
        <v>32</v>
      </c>
      <c r="L5" s="1">
        <v>58</v>
      </c>
      <c r="M5" s="1">
        <v>85</v>
      </c>
      <c r="N5" s="1">
        <v>130</v>
      </c>
      <c r="O5" s="1"/>
      <c r="AA5" s="2" t="s">
        <v>6</v>
      </c>
    </row>
    <row r="6" spans="1:27" ht="13.8" x14ac:dyDescent="0.25">
      <c r="A6" s="3" t="s">
        <v>7</v>
      </c>
      <c r="B6" s="1"/>
      <c r="C6" s="6">
        <v>2.5</v>
      </c>
      <c r="D6" s="6">
        <v>5.0999999999999996</v>
      </c>
      <c r="E6" s="6">
        <v>6.9</v>
      </c>
      <c r="F6" s="6">
        <v>7.6</v>
      </c>
      <c r="G6" s="6">
        <v>9.6</v>
      </c>
      <c r="H6" s="6">
        <v>8.6</v>
      </c>
      <c r="I6" s="6">
        <v>6.7</v>
      </c>
      <c r="J6" s="6">
        <v>3.2</v>
      </c>
      <c r="K6" s="6">
        <v>1.5</v>
      </c>
      <c r="L6" s="6">
        <v>1</v>
      </c>
      <c r="M6" s="6">
        <v>1.7</v>
      </c>
      <c r="N6" s="6">
        <v>1.5</v>
      </c>
      <c r="O6" s="1"/>
      <c r="AA6" s="2" t="s">
        <v>8</v>
      </c>
    </row>
    <row r="7" spans="1:27" ht="13.8" x14ac:dyDescent="0.25">
      <c r="A7" s="3" t="s">
        <v>9</v>
      </c>
      <c r="B7" s="1"/>
      <c r="C7" s="6">
        <v>53</v>
      </c>
      <c r="D7" s="6">
        <v>72</v>
      </c>
      <c r="E7" s="6">
        <v>203.7</v>
      </c>
      <c r="F7" s="6">
        <v>117.6</v>
      </c>
      <c r="G7" s="6">
        <v>111.3</v>
      </c>
      <c r="H7" s="6">
        <v>137.19999999999999</v>
      </c>
      <c r="I7" s="6">
        <v>127.7</v>
      </c>
      <c r="J7" s="6">
        <v>48.9</v>
      </c>
      <c r="K7" s="6">
        <v>43.2</v>
      </c>
      <c r="L7" s="6">
        <v>27</v>
      </c>
      <c r="M7" s="6">
        <v>18.7</v>
      </c>
      <c r="N7" s="6">
        <v>18.2</v>
      </c>
      <c r="O7" s="1"/>
      <c r="AA7" s="2" t="s">
        <v>10</v>
      </c>
    </row>
    <row r="8" spans="1:27" ht="13.8" x14ac:dyDescent="0.25">
      <c r="A8" s="3" t="s">
        <v>11</v>
      </c>
      <c r="B8" s="1"/>
      <c r="C8" s="7">
        <v>300</v>
      </c>
      <c r="D8" s="7">
        <v>600</v>
      </c>
      <c r="E8" s="7">
        <v>1498</v>
      </c>
      <c r="F8" s="7">
        <v>783</v>
      </c>
      <c r="G8" s="7">
        <v>450</v>
      </c>
      <c r="H8" s="7">
        <v>857</v>
      </c>
      <c r="I8" s="7">
        <v>870</v>
      </c>
      <c r="J8" s="7">
        <v>373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3.8" x14ac:dyDescent="0.25">
      <c r="A9" s="3" t="s">
        <v>13</v>
      </c>
      <c r="B9" s="1"/>
      <c r="C9" s="6">
        <v>18.399999999999999</v>
      </c>
      <c r="D9" s="6">
        <v>35.700000000000003</v>
      </c>
      <c r="E9" s="6">
        <v>179.7</v>
      </c>
      <c r="F9" s="6">
        <v>46.6</v>
      </c>
      <c r="G9" s="6">
        <v>27.7</v>
      </c>
      <c r="H9" s="6">
        <v>52.7</v>
      </c>
      <c r="I9" s="6">
        <v>51.8</v>
      </c>
      <c r="J9" s="6">
        <v>22.9</v>
      </c>
      <c r="K9" s="6">
        <v>17.8</v>
      </c>
      <c r="L9" s="6">
        <v>18.399999999999999</v>
      </c>
      <c r="M9" s="6">
        <v>18.399999999999999</v>
      </c>
      <c r="N9" s="6">
        <v>16.7</v>
      </c>
      <c r="O9" s="1"/>
      <c r="AA9" s="2" t="s">
        <v>14</v>
      </c>
    </row>
    <row r="10" spans="1:27" ht="13.8" x14ac:dyDescent="0.25">
      <c r="A10" s="3" t="s">
        <v>15</v>
      </c>
      <c r="B10" s="1"/>
      <c r="C10" s="6">
        <v>34.6</v>
      </c>
      <c r="D10" s="6">
        <v>36.299999999999997</v>
      </c>
      <c r="E10" s="6">
        <v>23.9</v>
      </c>
      <c r="F10" s="6">
        <v>71</v>
      </c>
      <c r="G10" s="6">
        <v>83.7</v>
      </c>
      <c r="H10" s="6">
        <v>84.5</v>
      </c>
      <c r="I10" s="6">
        <v>75.900000000000006</v>
      </c>
      <c r="J10" s="6">
        <v>25.9</v>
      </c>
      <c r="K10" s="6">
        <v>25.3</v>
      </c>
      <c r="L10" s="6">
        <v>8.6</v>
      </c>
      <c r="M10" s="6">
        <v>0.2</v>
      </c>
      <c r="N10" s="6">
        <v>1.5</v>
      </c>
      <c r="O10" s="6"/>
      <c r="AA10" s="2" t="s">
        <v>16</v>
      </c>
    </row>
    <row r="11" spans="1:27" ht="13.8" x14ac:dyDescent="0.25">
      <c r="A11" s="3" t="s">
        <v>17</v>
      </c>
      <c r="B11" s="1">
        <v>1787</v>
      </c>
      <c r="C11" s="6">
        <v>1848.4</v>
      </c>
      <c r="D11" s="6">
        <v>1937.3</v>
      </c>
      <c r="E11" s="6">
        <v>1829.8</v>
      </c>
      <c r="F11" s="6">
        <v>1739.6</v>
      </c>
      <c r="G11" s="6">
        <v>1630.6</v>
      </c>
      <c r="H11" s="6">
        <v>1491.8</v>
      </c>
      <c r="I11" s="6">
        <v>1362.4</v>
      </c>
      <c r="J11" s="6">
        <v>1324.4</v>
      </c>
      <c r="K11" s="6">
        <v>1311.6</v>
      </c>
      <c r="L11" s="6">
        <v>1341.7</v>
      </c>
      <c r="M11" s="6">
        <v>1406.3</v>
      </c>
      <c r="N11" s="6">
        <v>1516.7</v>
      </c>
      <c r="O11" s="6"/>
      <c r="AA11" s="2" t="s">
        <v>18</v>
      </c>
    </row>
    <row r="12" spans="1:27" ht="13.8" x14ac:dyDescent="0.25">
      <c r="A12" s="3" t="s">
        <v>19</v>
      </c>
      <c r="B12" s="1"/>
      <c r="C12" s="7">
        <v>2330</v>
      </c>
      <c r="D12" s="7">
        <v>2337</v>
      </c>
      <c r="E12" s="7">
        <v>2329</v>
      </c>
      <c r="F12" s="7">
        <v>2322</v>
      </c>
      <c r="G12" s="7">
        <v>2314</v>
      </c>
      <c r="H12" s="7">
        <v>2302</v>
      </c>
      <c r="I12" s="7">
        <v>2291</v>
      </c>
      <c r="J12" s="7">
        <v>2288</v>
      </c>
      <c r="K12" s="7">
        <v>2287</v>
      </c>
      <c r="L12" s="7">
        <v>2289</v>
      </c>
      <c r="M12" s="7">
        <v>2295</v>
      </c>
      <c r="N12" s="7">
        <v>2305</v>
      </c>
      <c r="O12" s="1"/>
      <c r="AA12" s="2" t="s">
        <v>20</v>
      </c>
    </row>
    <row r="13" spans="1:27" ht="13.8" x14ac:dyDescent="0.25">
      <c r="A13" s="3" t="s">
        <v>21</v>
      </c>
      <c r="B13" s="1"/>
      <c r="C13" s="7">
        <v>12801</v>
      </c>
      <c r="D13" s="7">
        <v>13142</v>
      </c>
      <c r="E13" s="7">
        <v>13629</v>
      </c>
      <c r="F13" s="7">
        <v>13074</v>
      </c>
      <c r="G13" s="7">
        <v>12598</v>
      </c>
      <c r="H13" s="7">
        <v>12065</v>
      </c>
      <c r="I13" s="7">
        <v>11287</v>
      </c>
      <c r="J13" s="7">
        <v>10596</v>
      </c>
      <c r="K13" s="7">
        <v>10411</v>
      </c>
      <c r="L13" s="7">
        <v>10350</v>
      </c>
      <c r="M13" s="7">
        <v>10472</v>
      </c>
      <c r="N13" s="7">
        <v>10844</v>
      </c>
      <c r="O13" s="1"/>
      <c r="AA13" s="2" t="s">
        <v>22</v>
      </c>
    </row>
    <row r="14" spans="1:27" ht="13.8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3.8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3.8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3.8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3.8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3.8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3.8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3.8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3.8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3.8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3.8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3.8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3.8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3.8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3.8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3.8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3.8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3.8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6" x14ac:dyDescent="0.3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6" x14ac:dyDescent="0.3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6" x14ac:dyDescent="0.3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6" x14ac:dyDescent="0.3">
      <c r="A36" s="1"/>
      <c r="B36" s="9"/>
      <c r="C36" s="4" t="s">
        <v>12</v>
      </c>
      <c r="D36" s="4" t="s">
        <v>14</v>
      </c>
      <c r="E36" s="4" t="s">
        <v>16</v>
      </c>
      <c r="F36" s="4" t="s">
        <v>18</v>
      </c>
      <c r="G36" s="4" t="s">
        <v>92</v>
      </c>
      <c r="H36" s="4" t="s">
        <v>22</v>
      </c>
      <c r="I36" s="4" t="s">
        <v>23</v>
      </c>
      <c r="J36" s="4" t="s">
        <v>24</v>
      </c>
      <c r="K36" s="4" t="s">
        <v>25</v>
      </c>
      <c r="L36" s="4" t="s">
        <v>26</v>
      </c>
      <c r="M36" s="4" t="s">
        <v>8</v>
      </c>
      <c r="N36" s="4" t="s">
        <v>10</v>
      </c>
      <c r="O36" s="1"/>
    </row>
    <row r="37" spans="1:15" ht="15.6" x14ac:dyDescent="0.3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3.8" x14ac:dyDescent="0.25">
      <c r="A38" s="10" t="s">
        <v>5</v>
      </c>
      <c r="B38" s="1"/>
      <c r="C38" s="1">
        <v>38</v>
      </c>
      <c r="D38" s="1">
        <v>25</v>
      </c>
      <c r="E38" s="1">
        <v>16</v>
      </c>
      <c r="F38" s="1">
        <v>8</v>
      </c>
      <c r="G38" s="1">
        <v>3</v>
      </c>
      <c r="H38" s="1">
        <v>2</v>
      </c>
      <c r="I38" s="1">
        <v>2</v>
      </c>
      <c r="J38" s="1">
        <v>3</v>
      </c>
      <c r="K38" s="1">
        <v>7</v>
      </c>
      <c r="L38" s="1">
        <v>16</v>
      </c>
      <c r="M38" s="1">
        <v>35</v>
      </c>
      <c r="N38" s="1">
        <v>45</v>
      </c>
      <c r="O38" s="1"/>
    </row>
    <row r="39" spans="1:15" ht="13.8" x14ac:dyDescent="0.25">
      <c r="A39" s="10" t="s">
        <v>7</v>
      </c>
      <c r="B39" s="1"/>
      <c r="C39" s="6">
        <v>0.6</v>
      </c>
      <c r="D39" s="6">
        <v>1.1000000000000001</v>
      </c>
      <c r="E39" s="6">
        <v>1.6</v>
      </c>
      <c r="F39" s="6">
        <v>1.9</v>
      </c>
      <c r="G39" s="6">
        <v>2.5</v>
      </c>
      <c r="H39" s="6">
        <v>2.2999999999999998</v>
      </c>
      <c r="I39" s="6">
        <v>1.9</v>
      </c>
      <c r="J39" s="6">
        <v>1</v>
      </c>
      <c r="K39" s="6">
        <v>0.4</v>
      </c>
      <c r="L39" s="6">
        <v>0.3</v>
      </c>
      <c r="M39" s="6">
        <v>0.5</v>
      </c>
      <c r="N39" s="6">
        <v>0.4</v>
      </c>
      <c r="O39" s="1"/>
    </row>
    <row r="40" spans="1:15" ht="13.8" x14ac:dyDescent="0.25">
      <c r="A40" s="10" t="s">
        <v>9</v>
      </c>
      <c r="B40" s="1"/>
      <c r="C40" s="6">
        <v>72.3</v>
      </c>
      <c r="D40" s="6">
        <v>28</v>
      </c>
      <c r="E40" s="6">
        <v>38.299999999999997</v>
      </c>
      <c r="F40" s="6">
        <v>77.099999999999994</v>
      </c>
      <c r="G40" s="6">
        <v>84.2</v>
      </c>
      <c r="H40" s="6">
        <v>84.2</v>
      </c>
      <c r="I40" s="6">
        <v>83.9</v>
      </c>
      <c r="J40" s="6">
        <v>52.3</v>
      </c>
      <c r="K40" s="6">
        <v>31.9</v>
      </c>
      <c r="L40" s="6">
        <v>24.3</v>
      </c>
      <c r="M40" s="6">
        <v>34.799999999999997</v>
      </c>
      <c r="N40" s="6">
        <v>46.1</v>
      </c>
      <c r="O40" s="1"/>
    </row>
    <row r="41" spans="1:15" ht="13.8" x14ac:dyDescent="0.25">
      <c r="A41" s="10" t="s">
        <v>28</v>
      </c>
      <c r="B41" s="1"/>
      <c r="C41" s="1">
        <v>60</v>
      </c>
      <c r="D41" s="1">
        <v>15</v>
      </c>
      <c r="E41" s="1">
        <v>25</v>
      </c>
      <c r="F41" s="1">
        <v>60</v>
      </c>
      <c r="G41" s="1">
        <v>75</v>
      </c>
      <c r="H41" s="1">
        <v>75</v>
      </c>
      <c r="I41" s="1">
        <v>75</v>
      </c>
      <c r="J41" s="1">
        <v>40</v>
      </c>
      <c r="K41" s="1">
        <v>20</v>
      </c>
      <c r="L41" s="1">
        <v>12</v>
      </c>
      <c r="M41" s="1">
        <v>20</v>
      </c>
      <c r="N41" s="1">
        <v>35</v>
      </c>
      <c r="O41" s="1"/>
    </row>
    <row r="42" spans="1:15" ht="13.8" x14ac:dyDescent="0.25">
      <c r="A42" s="10" t="s">
        <v>29</v>
      </c>
      <c r="B42" s="1">
        <v>206</v>
      </c>
      <c r="C42" s="7">
        <v>206</v>
      </c>
      <c r="D42" s="7">
        <v>238</v>
      </c>
      <c r="E42" s="7">
        <v>238</v>
      </c>
      <c r="F42" s="7">
        <v>238</v>
      </c>
      <c r="G42" s="7">
        <v>238</v>
      </c>
      <c r="H42" s="7">
        <v>238</v>
      </c>
      <c r="I42" s="7">
        <v>230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3.8" x14ac:dyDescent="0.25">
      <c r="A43" s="10" t="s">
        <v>19</v>
      </c>
      <c r="B43" s="1"/>
      <c r="C43" s="1">
        <v>1199</v>
      </c>
      <c r="D43" s="1">
        <v>1209</v>
      </c>
      <c r="E43" s="1">
        <v>1209</v>
      </c>
      <c r="F43" s="1">
        <v>1209</v>
      </c>
      <c r="G43" s="1">
        <v>1209</v>
      </c>
      <c r="H43" s="1">
        <v>1209</v>
      </c>
      <c r="I43" s="1">
        <v>1207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3.8" x14ac:dyDescent="0.25">
      <c r="A44" s="10" t="s">
        <v>21</v>
      </c>
      <c r="C44" s="7">
        <v>2977</v>
      </c>
      <c r="D44" s="7">
        <v>2977</v>
      </c>
      <c r="E44" s="7">
        <v>3223</v>
      </c>
      <c r="F44" s="7">
        <v>3223</v>
      </c>
      <c r="G44" s="7">
        <v>3223</v>
      </c>
      <c r="H44" s="7">
        <v>3223</v>
      </c>
      <c r="I44" s="7">
        <v>3223</v>
      </c>
      <c r="J44" s="7">
        <v>3174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3.8" x14ac:dyDescent="0.25">
      <c r="A45" s="10" t="s">
        <v>30</v>
      </c>
      <c r="B45" s="1"/>
      <c r="C45" s="1">
        <v>200</v>
      </c>
      <c r="D45" s="1">
        <v>218</v>
      </c>
      <c r="E45" s="1">
        <v>216</v>
      </c>
      <c r="F45" s="1">
        <v>288</v>
      </c>
      <c r="G45" s="1">
        <v>150</v>
      </c>
      <c r="H45" s="1">
        <v>150</v>
      </c>
      <c r="I45" s="1">
        <v>150</v>
      </c>
      <c r="J45" s="1">
        <v>200</v>
      </c>
      <c r="K45" s="1">
        <v>200</v>
      </c>
      <c r="L45" s="1">
        <v>200</v>
      </c>
      <c r="M45" s="1">
        <v>240</v>
      </c>
      <c r="N45" s="1">
        <v>200</v>
      </c>
      <c r="O45" s="6"/>
    </row>
    <row r="46" spans="1:15" ht="13.8" x14ac:dyDescent="0.25">
      <c r="A46" s="10" t="s">
        <v>31</v>
      </c>
      <c r="B46" s="1"/>
      <c r="C46" s="6">
        <v>12.3</v>
      </c>
      <c r="D46" s="6">
        <v>13</v>
      </c>
      <c r="E46" s="6">
        <v>13.3</v>
      </c>
      <c r="F46" s="6">
        <v>17.100000000000001</v>
      </c>
      <c r="G46" s="6">
        <v>9.1999999999999993</v>
      </c>
      <c r="H46" s="6">
        <v>9.1999999999999993</v>
      </c>
      <c r="I46" s="6">
        <v>8.9</v>
      </c>
      <c r="J46" s="6">
        <v>12.3</v>
      </c>
      <c r="K46" s="6">
        <v>11.9</v>
      </c>
      <c r="L46" s="6">
        <v>12.3</v>
      </c>
      <c r="M46" s="6">
        <v>14.8</v>
      </c>
      <c r="N46" s="6">
        <v>11.1</v>
      </c>
      <c r="O46" s="1"/>
    </row>
    <row r="47" spans="1:15" ht="13.8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3.8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3.8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.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.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.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.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.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.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3.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.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.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.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.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.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.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.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.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6" x14ac:dyDescent="0.3">
      <c r="A70" s="1"/>
      <c r="B70" s="3"/>
      <c r="C70" s="4" t="s">
        <v>12</v>
      </c>
      <c r="D70" s="4" t="s">
        <v>14</v>
      </c>
      <c r="E70" s="4" t="s">
        <v>16</v>
      </c>
      <c r="F70" s="4" t="s">
        <v>18</v>
      </c>
      <c r="G70" s="4" t="s">
        <v>92</v>
      </c>
      <c r="H70" s="4" t="s">
        <v>22</v>
      </c>
      <c r="I70" s="4" t="s">
        <v>23</v>
      </c>
      <c r="J70" s="4" t="s">
        <v>24</v>
      </c>
      <c r="K70" s="4" t="s">
        <v>25</v>
      </c>
      <c r="L70" s="4" t="s">
        <v>26</v>
      </c>
      <c r="M70" s="4" t="s">
        <v>8</v>
      </c>
      <c r="N70" s="4" t="s">
        <v>10</v>
      </c>
      <c r="O70" s="1"/>
    </row>
    <row r="71" spans="1:15" ht="15.6" x14ac:dyDescent="0.3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3.8" x14ac:dyDescent="0.25">
      <c r="A72" s="10" t="s">
        <v>5</v>
      </c>
      <c r="B72" s="1"/>
      <c r="C72" s="1">
        <v>600</v>
      </c>
      <c r="D72" s="1">
        <v>460</v>
      </c>
      <c r="E72" s="1">
        <v>355</v>
      </c>
      <c r="F72" s="1">
        <v>240</v>
      </c>
      <c r="G72" s="1">
        <v>195</v>
      </c>
      <c r="H72" s="1">
        <v>178</v>
      </c>
      <c r="I72" s="1">
        <v>177</v>
      </c>
      <c r="J72" s="1">
        <v>240</v>
      </c>
      <c r="K72" s="1">
        <v>300</v>
      </c>
      <c r="L72" s="1">
        <v>380</v>
      </c>
      <c r="M72" s="1">
        <v>590</v>
      </c>
      <c r="N72" s="1">
        <v>730</v>
      </c>
      <c r="O72" s="1"/>
    </row>
    <row r="73" spans="1:15" ht="13.8" x14ac:dyDescent="0.25">
      <c r="A73" s="10" t="s">
        <v>7</v>
      </c>
      <c r="B73" s="1"/>
      <c r="C73" s="6">
        <v>4.9000000000000004</v>
      </c>
      <c r="D73" s="6">
        <v>10.3</v>
      </c>
      <c r="E73" s="6">
        <v>13.6</v>
      </c>
      <c r="F73" s="6">
        <v>15.4</v>
      </c>
      <c r="G73" s="6">
        <v>18.8</v>
      </c>
      <c r="H73" s="6">
        <v>15.5</v>
      </c>
      <c r="I73" s="6">
        <v>11.8</v>
      </c>
      <c r="J73" s="6">
        <v>5.6</v>
      </c>
      <c r="K73" s="6">
        <v>2.7</v>
      </c>
      <c r="L73" s="6">
        <v>1.7</v>
      </c>
      <c r="M73" s="6">
        <v>3.1</v>
      </c>
      <c r="N73" s="6">
        <v>2.8</v>
      </c>
      <c r="O73" s="1"/>
    </row>
    <row r="74" spans="1:15" ht="13.8" x14ac:dyDescent="0.25">
      <c r="A74" s="10" t="s">
        <v>33</v>
      </c>
      <c r="B74" s="1"/>
      <c r="C74" s="7">
        <v>140</v>
      </c>
      <c r="D74" s="7">
        <v>416</v>
      </c>
      <c r="E74" s="7">
        <v>436</v>
      </c>
      <c r="F74" s="7">
        <v>624</v>
      </c>
      <c r="G74" s="7">
        <v>724</v>
      </c>
      <c r="H74" s="7">
        <v>540</v>
      </c>
      <c r="I74" s="7">
        <v>401</v>
      </c>
      <c r="J74" s="7">
        <v>329</v>
      </c>
      <c r="K74" s="7">
        <v>307</v>
      </c>
      <c r="L74" s="7">
        <v>234</v>
      </c>
      <c r="M74" s="7">
        <v>180</v>
      </c>
      <c r="N74" s="7">
        <v>145</v>
      </c>
      <c r="O74" s="1"/>
    </row>
    <row r="75" spans="1:15" ht="13.8" x14ac:dyDescent="0.25">
      <c r="A75" s="10" t="s">
        <v>34</v>
      </c>
      <c r="B75" s="1"/>
      <c r="C75" s="1">
        <v>3250</v>
      </c>
      <c r="D75" s="1">
        <v>7250</v>
      </c>
      <c r="E75" s="1">
        <v>7500</v>
      </c>
      <c r="F75" s="1">
        <v>11500</v>
      </c>
      <c r="G75" s="1">
        <v>13000</v>
      </c>
      <c r="H75" s="1">
        <v>10000</v>
      </c>
      <c r="I75" s="1">
        <v>8000</v>
      </c>
      <c r="J75" s="1">
        <v>6000</v>
      </c>
      <c r="K75" s="1">
        <v>5500</v>
      </c>
      <c r="L75" s="1">
        <v>4000</v>
      </c>
      <c r="M75" s="1">
        <v>3250</v>
      </c>
      <c r="N75" s="1">
        <v>3250</v>
      </c>
      <c r="O75" s="1"/>
    </row>
    <row r="76" spans="1:15" ht="13.8" x14ac:dyDescent="0.25">
      <c r="A76" s="10" t="s">
        <v>35</v>
      </c>
      <c r="B76" s="1"/>
      <c r="C76" s="7">
        <v>200</v>
      </c>
      <c r="D76" s="7">
        <v>431</v>
      </c>
      <c r="E76" s="7">
        <v>461</v>
      </c>
      <c r="F76" s="7">
        <v>684</v>
      </c>
      <c r="G76" s="7">
        <v>799</v>
      </c>
      <c r="H76" s="7">
        <v>615</v>
      </c>
      <c r="I76" s="7">
        <v>476</v>
      </c>
      <c r="J76" s="7">
        <v>369</v>
      </c>
      <c r="K76" s="7">
        <v>327</v>
      </c>
      <c r="L76" s="7">
        <v>246</v>
      </c>
      <c r="M76" s="7">
        <v>200</v>
      </c>
      <c r="N76" s="7">
        <v>180</v>
      </c>
      <c r="O76" s="1"/>
    </row>
    <row r="77" spans="1:15" ht="13.8" x14ac:dyDescent="0.25">
      <c r="A77" s="10" t="s">
        <v>36</v>
      </c>
      <c r="B77" s="8"/>
      <c r="C77" s="7">
        <v>3250</v>
      </c>
      <c r="D77" s="7">
        <v>7250</v>
      </c>
      <c r="E77" s="7">
        <v>7500</v>
      </c>
      <c r="F77" s="7">
        <v>11500</v>
      </c>
      <c r="G77" s="7">
        <v>13000</v>
      </c>
      <c r="H77" s="7">
        <v>10000</v>
      </c>
      <c r="I77" s="7">
        <v>8000</v>
      </c>
      <c r="J77" s="7">
        <v>6000</v>
      </c>
      <c r="K77" s="7">
        <v>5500</v>
      </c>
      <c r="L77" s="7">
        <v>4000</v>
      </c>
      <c r="M77" s="7">
        <v>3250</v>
      </c>
      <c r="N77" s="7">
        <v>3250</v>
      </c>
      <c r="O77" s="1"/>
    </row>
    <row r="78" spans="1:15" ht="13.8" x14ac:dyDescent="0.25">
      <c r="A78" s="10" t="s">
        <v>29</v>
      </c>
      <c r="B78" s="7">
        <v>3414</v>
      </c>
      <c r="C78" s="7">
        <v>3869</v>
      </c>
      <c r="D78" s="7">
        <v>3903</v>
      </c>
      <c r="E78" s="7">
        <v>3808</v>
      </c>
      <c r="F78" s="7">
        <v>3408</v>
      </c>
      <c r="G78" s="7">
        <v>2860</v>
      </c>
      <c r="H78" s="7">
        <v>2483</v>
      </c>
      <c r="I78" s="7">
        <v>2248</v>
      </c>
      <c r="J78" s="7">
        <v>2153</v>
      </c>
      <c r="K78" s="7">
        <v>2143</v>
      </c>
      <c r="L78" s="7">
        <v>2288</v>
      </c>
      <c r="M78" s="7">
        <v>2695</v>
      </c>
      <c r="N78" s="7">
        <v>3277</v>
      </c>
      <c r="O78" s="1"/>
    </row>
    <row r="79" spans="1:15" ht="13.8" x14ac:dyDescent="0.25">
      <c r="A79" s="10" t="s">
        <v>19</v>
      </c>
      <c r="B79" s="1"/>
      <c r="C79" s="7">
        <v>1043</v>
      </c>
      <c r="D79" s="7">
        <v>1044</v>
      </c>
      <c r="E79" s="7">
        <v>1041</v>
      </c>
      <c r="F79" s="7">
        <v>1025</v>
      </c>
      <c r="G79" s="7">
        <v>1001</v>
      </c>
      <c r="H79" s="7">
        <v>983</v>
      </c>
      <c r="I79" s="7">
        <v>971</v>
      </c>
      <c r="J79" s="7">
        <v>966</v>
      </c>
      <c r="K79" s="7">
        <v>965</v>
      </c>
      <c r="L79" s="7">
        <v>973</v>
      </c>
      <c r="M79" s="7">
        <v>994</v>
      </c>
      <c r="N79" s="7">
        <v>1020</v>
      </c>
      <c r="O79" s="1"/>
    </row>
    <row r="80" spans="1:15" ht="13.8" x14ac:dyDescent="0.25">
      <c r="A80" s="10" t="s">
        <v>21</v>
      </c>
      <c r="B80" s="1"/>
      <c r="C80" s="7">
        <v>24597</v>
      </c>
      <c r="D80" s="7">
        <v>26784</v>
      </c>
      <c r="E80" s="7">
        <v>26908</v>
      </c>
      <c r="F80" s="7">
        <v>26537</v>
      </c>
      <c r="G80" s="7">
        <v>24597</v>
      </c>
      <c r="H80" s="7">
        <v>21826</v>
      </c>
      <c r="I80" s="7">
        <v>19856</v>
      </c>
      <c r="J80" s="7">
        <v>18593</v>
      </c>
      <c r="K80" s="7">
        <v>18079</v>
      </c>
      <c r="L80" s="7">
        <v>17976</v>
      </c>
      <c r="M80" s="7">
        <v>18801</v>
      </c>
      <c r="N80" s="7">
        <v>21049</v>
      </c>
      <c r="O80" s="1"/>
    </row>
    <row r="81" spans="1:15" ht="13.8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3.8" x14ac:dyDescent="0.25">
      <c r="A82" s="10" t="s">
        <v>38</v>
      </c>
      <c r="B82" s="1"/>
      <c r="C82" s="1">
        <v>9969</v>
      </c>
      <c r="D82" s="1">
        <v>-1139</v>
      </c>
      <c r="E82" s="1">
        <v>-3158</v>
      </c>
      <c r="F82" s="1">
        <v>-4500</v>
      </c>
      <c r="G82" s="1">
        <v>-5673</v>
      </c>
      <c r="H82" s="1">
        <v>-3841</v>
      </c>
      <c r="I82" s="1">
        <v>-989</v>
      </c>
      <c r="J82" s="1">
        <v>101.6465604</v>
      </c>
      <c r="K82" s="1">
        <v>1113</v>
      </c>
      <c r="L82" s="1">
        <v>3700</v>
      </c>
      <c r="M82" s="1">
        <v>6564</v>
      </c>
      <c r="N82" s="1">
        <v>9896</v>
      </c>
      <c r="O82" s="1"/>
    </row>
    <row r="83" spans="1:15" ht="13.8" x14ac:dyDescent="0.25">
      <c r="A83" s="10" t="s">
        <v>39</v>
      </c>
      <c r="B83" s="12"/>
      <c r="C83" s="1">
        <v>13419</v>
      </c>
      <c r="D83" s="1">
        <v>6329</v>
      </c>
      <c r="E83" s="1">
        <v>4558</v>
      </c>
      <c r="F83" s="1">
        <v>7288</v>
      </c>
      <c r="G83" s="1">
        <v>7477</v>
      </c>
      <c r="H83" s="1">
        <v>6309</v>
      </c>
      <c r="I83" s="1">
        <v>7161</v>
      </c>
      <c r="J83" s="1">
        <v>6301.6465600000001</v>
      </c>
      <c r="K83" s="1">
        <v>6813</v>
      </c>
      <c r="L83" s="1">
        <v>7900</v>
      </c>
      <c r="M83" s="1">
        <v>10054</v>
      </c>
      <c r="N83" s="1">
        <v>13346</v>
      </c>
      <c r="O83" s="1"/>
    </row>
    <row r="84" spans="1:15" ht="13.8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3.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.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.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.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.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.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.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.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.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.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.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.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.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.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3.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.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.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.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.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.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.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.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.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.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.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.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6" x14ac:dyDescent="0.3">
      <c r="A111" s="1"/>
      <c r="B111" s="3"/>
      <c r="C111" s="4" t="s">
        <v>12</v>
      </c>
      <c r="D111" s="4" t="s">
        <v>14</v>
      </c>
      <c r="E111" s="4" t="s">
        <v>16</v>
      </c>
      <c r="F111" s="4" t="s">
        <v>18</v>
      </c>
      <c r="G111" s="4" t="s">
        <v>92</v>
      </c>
      <c r="H111" s="4" t="s">
        <v>22</v>
      </c>
      <c r="I111" s="4" t="s">
        <v>23</v>
      </c>
      <c r="J111" s="4" t="s">
        <v>24</v>
      </c>
      <c r="K111" s="4" t="s">
        <v>25</v>
      </c>
      <c r="L111" s="4" t="s">
        <v>26</v>
      </c>
      <c r="M111" s="4" t="s">
        <v>8</v>
      </c>
      <c r="N111" s="4" t="s">
        <v>10</v>
      </c>
      <c r="O111" s="1"/>
    </row>
    <row r="112" spans="1:15" ht="15.6" x14ac:dyDescent="0.3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.8" x14ac:dyDescent="0.25">
      <c r="A113" s="10" t="s">
        <v>5</v>
      </c>
      <c r="B113" s="1"/>
      <c r="C113" s="7">
        <v>250</v>
      </c>
      <c r="D113" s="7">
        <v>130</v>
      </c>
      <c r="E113" s="7">
        <v>116</v>
      </c>
      <c r="F113" s="7">
        <v>89</v>
      </c>
      <c r="G113" s="7">
        <v>118</v>
      </c>
      <c r="H113" s="7">
        <v>121</v>
      </c>
      <c r="I113" s="7">
        <v>126</v>
      </c>
      <c r="J113" s="7">
        <v>120</v>
      </c>
      <c r="K113" s="7">
        <v>170</v>
      </c>
      <c r="L113" s="7">
        <v>220</v>
      </c>
      <c r="M113" s="7">
        <v>320</v>
      </c>
      <c r="N113" s="7">
        <v>450</v>
      </c>
      <c r="O113" s="1"/>
    </row>
    <row r="114" spans="1:15" ht="13.8" x14ac:dyDescent="0.25">
      <c r="A114" s="10" t="s">
        <v>7</v>
      </c>
      <c r="B114" s="1"/>
      <c r="C114" s="6">
        <v>1.7</v>
      </c>
      <c r="D114" s="6">
        <v>3.5</v>
      </c>
      <c r="E114" s="6">
        <v>4.5</v>
      </c>
      <c r="F114" s="6">
        <v>4.9000000000000004</v>
      </c>
      <c r="G114" s="6">
        <v>5.8</v>
      </c>
      <c r="H114" s="6">
        <v>4.8</v>
      </c>
      <c r="I114" s="6">
        <v>3.6</v>
      </c>
      <c r="J114" s="6">
        <v>1.8</v>
      </c>
      <c r="K114" s="6">
        <v>0.9</v>
      </c>
      <c r="L114" s="6">
        <v>0.5</v>
      </c>
      <c r="M114" s="6">
        <v>1</v>
      </c>
      <c r="N114" s="6">
        <v>0.9</v>
      </c>
      <c r="O114" s="1"/>
    </row>
    <row r="115" spans="1:15" ht="13.8" x14ac:dyDescent="0.25">
      <c r="A115" s="10" t="s">
        <v>42</v>
      </c>
      <c r="B115" s="1"/>
      <c r="C115" s="7">
        <v>108</v>
      </c>
      <c r="D115" s="7">
        <v>147</v>
      </c>
      <c r="E115" s="7">
        <v>251</v>
      </c>
      <c r="F115" s="7">
        <v>270</v>
      </c>
      <c r="G115" s="7">
        <v>312</v>
      </c>
      <c r="H115" s="7">
        <v>269</v>
      </c>
      <c r="I115" s="7">
        <v>141</v>
      </c>
      <c r="J115" s="7">
        <v>150</v>
      </c>
      <c r="K115" s="7">
        <v>190</v>
      </c>
      <c r="L115" s="7">
        <v>157</v>
      </c>
      <c r="M115" s="7">
        <v>96</v>
      </c>
      <c r="N115" s="7">
        <v>56</v>
      </c>
      <c r="O115" s="1"/>
    </row>
    <row r="116" spans="1:15" ht="13.8" x14ac:dyDescent="0.25">
      <c r="A116" s="10" t="s">
        <v>43</v>
      </c>
      <c r="B116" s="1">
        <v>1460</v>
      </c>
      <c r="C116" s="7">
        <v>1601</v>
      </c>
      <c r="D116" s="7">
        <v>1580</v>
      </c>
      <c r="E116" s="7">
        <v>1441</v>
      </c>
      <c r="F116" s="7">
        <v>1255</v>
      </c>
      <c r="G116" s="7">
        <v>1055</v>
      </c>
      <c r="H116" s="7">
        <v>902</v>
      </c>
      <c r="I116" s="7">
        <v>883</v>
      </c>
      <c r="J116" s="7">
        <v>851</v>
      </c>
      <c r="K116" s="7">
        <v>830</v>
      </c>
      <c r="L116" s="7">
        <v>892</v>
      </c>
      <c r="M116" s="7">
        <v>1114</v>
      </c>
      <c r="N116" s="7">
        <v>1508</v>
      </c>
      <c r="O116" s="1"/>
    </row>
    <row r="117" spans="1:15" ht="13.8" x14ac:dyDescent="0.25">
      <c r="A117" s="10" t="s">
        <v>19</v>
      </c>
      <c r="B117" s="1"/>
      <c r="C117" s="7">
        <v>742</v>
      </c>
      <c r="D117" s="7">
        <v>739</v>
      </c>
      <c r="E117" s="7">
        <v>723</v>
      </c>
      <c r="F117" s="7">
        <v>700</v>
      </c>
      <c r="G117" s="7">
        <v>672</v>
      </c>
      <c r="H117" s="7">
        <v>649</v>
      </c>
      <c r="I117" s="7">
        <v>645</v>
      </c>
      <c r="J117" s="7">
        <v>640</v>
      </c>
      <c r="K117" s="7">
        <v>636</v>
      </c>
      <c r="L117" s="7">
        <v>647</v>
      </c>
      <c r="M117" s="7">
        <v>681</v>
      </c>
      <c r="N117" s="7">
        <v>731</v>
      </c>
      <c r="O117" s="1"/>
    </row>
    <row r="118" spans="1:15" ht="13.8" x14ac:dyDescent="0.25">
      <c r="A118" s="10" t="s">
        <v>21</v>
      </c>
      <c r="B118" s="1"/>
      <c r="C118" s="7">
        <v>8465</v>
      </c>
      <c r="D118" s="7">
        <v>9020</v>
      </c>
      <c r="E118" s="7">
        <v>8931</v>
      </c>
      <c r="F118" s="7">
        <v>8380</v>
      </c>
      <c r="G118" s="7">
        <v>7634</v>
      </c>
      <c r="H118" s="7">
        <v>6749</v>
      </c>
      <c r="I118" s="7">
        <v>6075</v>
      </c>
      <c r="J118" s="7">
        <v>5978</v>
      </c>
      <c r="K118" s="7">
        <v>5839</v>
      </c>
      <c r="L118" s="7">
        <v>5729</v>
      </c>
      <c r="M118" s="7">
        <v>6019</v>
      </c>
      <c r="N118" s="7">
        <v>7025</v>
      </c>
      <c r="O118" s="1"/>
    </row>
    <row r="119" spans="1:15" ht="13.8" x14ac:dyDescent="0.25">
      <c r="A119" s="10" t="s">
        <v>44</v>
      </c>
      <c r="B119" s="1"/>
      <c r="C119" s="7">
        <v>1750</v>
      </c>
      <c r="D119" s="7">
        <v>1250</v>
      </c>
      <c r="E119" s="7">
        <v>1150</v>
      </c>
      <c r="F119" s="7">
        <v>1500</v>
      </c>
      <c r="G119" s="7">
        <v>2000</v>
      </c>
      <c r="H119" s="7">
        <v>2000</v>
      </c>
      <c r="I119" s="7">
        <v>1500</v>
      </c>
      <c r="J119" s="7">
        <v>1000</v>
      </c>
      <c r="K119" s="7">
        <v>1000</v>
      </c>
      <c r="L119" s="7">
        <v>1000</v>
      </c>
      <c r="M119" s="7">
        <v>1000</v>
      </c>
      <c r="N119" s="7">
        <v>1000</v>
      </c>
      <c r="O119" s="1"/>
    </row>
    <row r="120" spans="1:15" ht="13.8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3.8" x14ac:dyDescent="0.25">
      <c r="A121" s="10" t="s">
        <v>46</v>
      </c>
      <c r="B121" s="1" t="e">
        <f>-TAF</f>
        <v>#NAME?</v>
      </c>
      <c r="C121" s="7">
        <v>108</v>
      </c>
      <c r="D121" s="7">
        <v>74</v>
      </c>
      <c r="E121" s="7">
        <v>71</v>
      </c>
      <c r="F121" s="7">
        <v>89</v>
      </c>
      <c r="G121" s="7">
        <v>123</v>
      </c>
      <c r="H121" s="7">
        <v>123</v>
      </c>
      <c r="I121" s="7">
        <v>89</v>
      </c>
      <c r="J121" s="7">
        <v>61</v>
      </c>
      <c r="K121" s="7">
        <v>59</v>
      </c>
      <c r="L121" s="7">
        <v>61</v>
      </c>
      <c r="M121" s="7">
        <v>61</v>
      </c>
      <c r="N121" s="7">
        <v>56</v>
      </c>
      <c r="O121" s="1"/>
    </row>
    <row r="122" spans="1:15" ht="13.8" x14ac:dyDescent="0.25">
      <c r="A122" s="10" t="s">
        <v>47</v>
      </c>
      <c r="B122" s="1" t="e">
        <f>-Deliveries</f>
        <v>#NAME?</v>
      </c>
      <c r="C122" s="7">
        <v>0</v>
      </c>
      <c r="D122" s="7">
        <v>73</v>
      </c>
      <c r="E122" s="7">
        <v>180</v>
      </c>
      <c r="F122" s="7">
        <v>181</v>
      </c>
      <c r="G122" s="7">
        <v>189</v>
      </c>
      <c r="H122" s="7">
        <v>146</v>
      </c>
      <c r="I122" s="7">
        <v>52</v>
      </c>
      <c r="J122" s="7">
        <v>89</v>
      </c>
      <c r="K122" s="7">
        <v>131</v>
      </c>
      <c r="L122" s="7">
        <v>96</v>
      </c>
      <c r="M122" s="7">
        <v>35</v>
      </c>
      <c r="N122" s="7">
        <v>0</v>
      </c>
      <c r="O122" s="1"/>
    </row>
    <row r="123" spans="1:15" ht="13.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.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.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.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.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.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3.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3.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3.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3.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.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.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.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.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.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.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3.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3.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3.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3.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3.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3.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3.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3.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6" x14ac:dyDescent="0.3">
      <c r="A147" s="1"/>
      <c r="B147" s="3"/>
      <c r="C147" s="4" t="s">
        <v>12</v>
      </c>
      <c r="D147" s="4" t="s">
        <v>14</v>
      </c>
      <c r="E147" s="4" t="s">
        <v>16</v>
      </c>
      <c r="F147" s="4" t="s">
        <v>18</v>
      </c>
      <c r="G147" s="4" t="s">
        <v>92</v>
      </c>
      <c r="H147" s="4" t="s">
        <v>22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8</v>
      </c>
      <c r="N147" s="4" t="s">
        <v>10</v>
      </c>
      <c r="O147" s="1"/>
    </row>
    <row r="148" spans="1:15" ht="15.6" x14ac:dyDescent="0.3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3.8" x14ac:dyDescent="0.25">
      <c r="A149" s="10" t="s">
        <v>5</v>
      </c>
      <c r="B149" s="1"/>
      <c r="C149" s="23">
        <f>197*6/31</f>
        <v>38.12903225806452</v>
      </c>
      <c r="D149" s="1">
        <v>171</v>
      </c>
      <c r="E149" s="1">
        <v>160</v>
      </c>
      <c r="F149" s="1">
        <v>87</v>
      </c>
      <c r="G149" s="1">
        <v>76</v>
      </c>
      <c r="H149" s="1">
        <v>80</v>
      </c>
      <c r="I149" s="1">
        <v>69</v>
      </c>
      <c r="J149" s="1">
        <v>90</v>
      </c>
      <c r="K149" s="1">
        <v>100</v>
      </c>
      <c r="L149" s="1">
        <v>120</v>
      </c>
      <c r="M149" s="1">
        <v>160</v>
      </c>
      <c r="N149" s="1">
        <v>270</v>
      </c>
      <c r="O149" s="1"/>
    </row>
    <row r="150" spans="1:15" ht="13.8" x14ac:dyDescent="0.25">
      <c r="A150" s="10" t="s">
        <v>7</v>
      </c>
      <c r="B150" s="1"/>
      <c r="C150" s="6">
        <f>1.7*6/31</f>
        <v>0.32903225806451608</v>
      </c>
      <c r="D150" s="6">
        <v>3.4</v>
      </c>
      <c r="E150" s="6">
        <v>4.5</v>
      </c>
      <c r="F150" s="6">
        <v>5</v>
      </c>
      <c r="G150" s="6">
        <v>6.2</v>
      </c>
      <c r="H150" s="6">
        <v>5.4</v>
      </c>
      <c r="I150" s="6">
        <v>3.7</v>
      </c>
      <c r="J150" s="6">
        <v>1.9</v>
      </c>
      <c r="K150" s="6">
        <v>1</v>
      </c>
      <c r="L150" s="6">
        <v>0.6</v>
      </c>
      <c r="M150" s="6">
        <v>1.1000000000000001</v>
      </c>
      <c r="N150" s="6">
        <v>1</v>
      </c>
      <c r="O150" s="1"/>
    </row>
    <row r="151" spans="1:15" ht="13.8" x14ac:dyDescent="0.25">
      <c r="A151" s="10" t="s">
        <v>9</v>
      </c>
      <c r="B151" s="1"/>
      <c r="C151" s="6">
        <f>130.7*6/31</f>
        <v>25.296774193548384</v>
      </c>
      <c r="D151" s="6">
        <v>180</v>
      </c>
      <c r="E151" s="6">
        <v>125.1</v>
      </c>
      <c r="F151" s="6">
        <v>191.3</v>
      </c>
      <c r="G151" s="6">
        <v>158.6</v>
      </c>
      <c r="H151" s="6">
        <v>146</v>
      </c>
      <c r="I151" s="6">
        <v>87.9</v>
      </c>
      <c r="J151" s="6">
        <v>89.2</v>
      </c>
      <c r="K151" s="6">
        <v>83.7</v>
      </c>
      <c r="L151" s="6">
        <v>84.3</v>
      </c>
      <c r="M151" s="6">
        <v>84.3</v>
      </c>
      <c r="N151" s="6">
        <v>118.5</v>
      </c>
      <c r="O151" s="1"/>
    </row>
    <row r="152" spans="1:15" ht="13.8" x14ac:dyDescent="0.25">
      <c r="A152" s="10" t="s">
        <v>49</v>
      </c>
      <c r="B152" s="1"/>
      <c r="C152" s="23">
        <f>6.25*6/31</f>
        <v>1.2096774193548387</v>
      </c>
      <c r="D152" s="1">
        <v>12.5</v>
      </c>
      <c r="E152" s="1">
        <v>12.5</v>
      </c>
      <c r="F152" s="1">
        <v>13.75</v>
      </c>
      <c r="G152" s="1">
        <v>15</v>
      </c>
      <c r="H152" s="1">
        <v>18.600000000000001</v>
      </c>
      <c r="I152" s="1">
        <v>9.9</v>
      </c>
      <c r="J152" s="1">
        <v>10</v>
      </c>
      <c r="K152" s="1">
        <v>7.5</v>
      </c>
      <c r="L152" s="1">
        <v>6.25</v>
      </c>
      <c r="M152" s="1">
        <v>6.25</v>
      </c>
      <c r="N152" s="1">
        <v>6.25</v>
      </c>
      <c r="O152" s="1"/>
    </row>
    <row r="153" spans="1:15" ht="13.8" x14ac:dyDescent="0.25">
      <c r="A153" s="10" t="s">
        <v>50</v>
      </c>
      <c r="B153" s="1"/>
      <c r="C153" s="6">
        <f>1.5*6/31</f>
        <v>0.29032258064516131</v>
      </c>
      <c r="D153" s="1">
        <v>1.8</v>
      </c>
      <c r="E153" s="1">
        <v>2.7</v>
      </c>
      <c r="F153" s="1">
        <v>3.6</v>
      </c>
      <c r="G153" s="1">
        <v>4.5</v>
      </c>
      <c r="H153" s="1">
        <v>4.5</v>
      </c>
      <c r="I153" s="1">
        <v>3.6</v>
      </c>
      <c r="J153" s="1">
        <v>2.4</v>
      </c>
      <c r="K153" s="1">
        <v>1.8</v>
      </c>
      <c r="L153" s="1">
        <v>1.2</v>
      </c>
      <c r="M153" s="1">
        <v>1.2</v>
      </c>
      <c r="N153" s="1">
        <v>1.2</v>
      </c>
      <c r="O153" s="1"/>
    </row>
    <row r="154" spans="1:15" ht="13.8" x14ac:dyDescent="0.25">
      <c r="A154" s="10" t="s">
        <v>51</v>
      </c>
      <c r="B154" s="1"/>
      <c r="C154" s="1">
        <v>2000</v>
      </c>
      <c r="D154" s="1">
        <v>1750</v>
      </c>
      <c r="E154" s="1">
        <v>1750</v>
      </c>
      <c r="F154" s="1">
        <v>1750</v>
      </c>
      <c r="G154" s="1">
        <v>0</v>
      </c>
      <c r="H154" s="1">
        <v>2000</v>
      </c>
      <c r="I154" s="1">
        <v>1250</v>
      </c>
      <c r="J154" s="1">
        <v>1250</v>
      </c>
      <c r="K154" s="1">
        <v>1250</v>
      </c>
      <c r="L154" s="1">
        <v>1250</v>
      </c>
      <c r="M154" s="1">
        <v>1250</v>
      </c>
      <c r="N154" s="1">
        <v>2000</v>
      </c>
      <c r="O154" s="1"/>
    </row>
    <row r="155" spans="1:15" ht="13.8" x14ac:dyDescent="0.25">
      <c r="A155" s="10" t="s">
        <v>52</v>
      </c>
      <c r="B155" s="1"/>
      <c r="C155" s="6">
        <f>122.9*6/31</f>
        <v>23.78709677419355</v>
      </c>
      <c r="D155" s="6">
        <v>104.1</v>
      </c>
      <c r="E155" s="6">
        <v>107.6</v>
      </c>
      <c r="F155" s="6">
        <v>104.1</v>
      </c>
      <c r="G155" s="6">
        <v>0</v>
      </c>
      <c r="H155" s="6">
        <v>122.9</v>
      </c>
      <c r="I155" s="6">
        <v>74.400000000000006</v>
      </c>
      <c r="J155" s="6">
        <v>76.8</v>
      </c>
      <c r="K155" s="6">
        <v>74.400000000000006</v>
      </c>
      <c r="L155" s="6">
        <v>76.8</v>
      </c>
      <c r="M155" s="6">
        <v>76.8</v>
      </c>
      <c r="N155" s="6">
        <v>111</v>
      </c>
      <c r="O155" s="1"/>
    </row>
    <row r="156" spans="1:15" ht="13.8" x14ac:dyDescent="0.25">
      <c r="A156" s="10" t="s">
        <v>53</v>
      </c>
      <c r="B156" s="1"/>
      <c r="C156" s="6">
        <f>122.9*6/31</f>
        <v>23.78709677419355</v>
      </c>
      <c r="D156" s="6">
        <v>165.7</v>
      </c>
      <c r="E156" s="6">
        <v>109.9</v>
      </c>
      <c r="F156" s="6">
        <v>173.9</v>
      </c>
      <c r="G156" s="6">
        <v>139.1</v>
      </c>
      <c r="H156" s="6">
        <v>122.9</v>
      </c>
      <c r="I156" s="6">
        <v>74.400000000000006</v>
      </c>
      <c r="J156" s="6">
        <v>76.8</v>
      </c>
      <c r="K156" s="6">
        <v>74.400000000000006</v>
      </c>
      <c r="L156" s="6">
        <v>76.8</v>
      </c>
      <c r="M156" s="6">
        <v>76.8</v>
      </c>
      <c r="N156" s="6">
        <v>111</v>
      </c>
      <c r="O156" s="1"/>
    </row>
    <row r="157" spans="1:15" ht="13.8" x14ac:dyDescent="0.25">
      <c r="A157" s="10" t="s">
        <v>29</v>
      </c>
      <c r="B157" s="23">
        <f>C157-C149+C150+C151</f>
        <v>578.49677419354839</v>
      </c>
      <c r="C157" s="7">
        <v>591</v>
      </c>
      <c r="D157" s="7">
        <v>578</v>
      </c>
      <c r="E157" s="7">
        <v>609</v>
      </c>
      <c r="F157" s="7">
        <v>499</v>
      </c>
      <c r="G157" s="7">
        <v>410</v>
      </c>
      <c r="H157" s="7">
        <v>339</v>
      </c>
      <c r="I157" s="7">
        <v>316</v>
      </c>
      <c r="J157" s="7">
        <v>315</v>
      </c>
      <c r="K157" s="7">
        <v>331</v>
      </c>
      <c r="L157" s="7">
        <v>366</v>
      </c>
      <c r="M157" s="7">
        <v>440</v>
      </c>
      <c r="N157" s="7">
        <v>591</v>
      </c>
      <c r="O157" s="1"/>
    </row>
    <row r="158" spans="1:15" ht="13.8" x14ac:dyDescent="0.25">
      <c r="A158" s="10" t="s">
        <v>19</v>
      </c>
      <c r="B158" s="1"/>
      <c r="C158" s="7">
        <v>427</v>
      </c>
      <c r="D158" s="7">
        <v>426</v>
      </c>
      <c r="E158" s="7">
        <v>429</v>
      </c>
      <c r="F158" s="7">
        <v>416</v>
      </c>
      <c r="G158" s="7">
        <v>405</v>
      </c>
      <c r="H158" s="7">
        <v>394</v>
      </c>
      <c r="I158" s="7">
        <v>390</v>
      </c>
      <c r="J158" s="7">
        <v>390</v>
      </c>
      <c r="K158" s="7">
        <v>392</v>
      </c>
      <c r="L158" s="7">
        <v>398</v>
      </c>
      <c r="M158" s="7">
        <v>409</v>
      </c>
      <c r="N158" s="7">
        <v>427</v>
      </c>
      <c r="O158" s="1"/>
    </row>
    <row r="159" spans="1:15" ht="13.8" x14ac:dyDescent="0.25">
      <c r="A159" s="10" t="s">
        <v>21</v>
      </c>
      <c r="B159" s="1"/>
      <c r="C159" s="7">
        <v>8609</v>
      </c>
      <c r="D159" s="7">
        <v>8828</v>
      </c>
      <c r="E159" s="7">
        <v>8901</v>
      </c>
      <c r="F159" s="7">
        <v>8682</v>
      </c>
      <c r="G159" s="7">
        <v>8175</v>
      </c>
      <c r="H159" s="7">
        <v>7527</v>
      </c>
      <c r="I159" s="7">
        <v>6182</v>
      </c>
      <c r="J159" s="7">
        <v>6463</v>
      </c>
      <c r="K159" s="7">
        <v>6463</v>
      </c>
      <c r="L159" s="7">
        <v>6322</v>
      </c>
      <c r="M159" s="7">
        <v>6604</v>
      </c>
      <c r="N159" s="7">
        <v>7242</v>
      </c>
      <c r="O159" s="1"/>
    </row>
    <row r="160" spans="1:15" ht="13.8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3.8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3.8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3.8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3.8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3.8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3.8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3.8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3.8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3.8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3.8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3.8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3.8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3.8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3.8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3.8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3.8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3.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3.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3.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3.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3.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3.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3.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3.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3.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3.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6" x14ac:dyDescent="0.3">
      <c r="A187" s="1"/>
      <c r="B187" s="3"/>
      <c r="C187" s="4" t="s">
        <v>12</v>
      </c>
      <c r="D187" s="4" t="s">
        <v>14</v>
      </c>
      <c r="E187" s="4" t="s">
        <v>16</v>
      </c>
      <c r="F187" s="4" t="s">
        <v>18</v>
      </c>
      <c r="G187" s="4" t="s">
        <v>92</v>
      </c>
      <c r="H187" s="4" t="s">
        <v>22</v>
      </c>
      <c r="I187" s="4" t="s">
        <v>23</v>
      </c>
      <c r="J187" s="4" t="s">
        <v>24</v>
      </c>
      <c r="K187" s="4" t="s">
        <v>25</v>
      </c>
      <c r="L187" s="4" t="s">
        <v>26</v>
      </c>
      <c r="M187" s="4" t="s">
        <v>8</v>
      </c>
      <c r="N187" s="4" t="s">
        <v>10</v>
      </c>
      <c r="O187" s="1"/>
    </row>
    <row r="188" spans="1:15" ht="15.6" x14ac:dyDescent="0.3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3.8" x14ac:dyDescent="0.25">
      <c r="A189" s="10" t="s">
        <v>5</v>
      </c>
      <c r="B189" s="1"/>
      <c r="C189" s="7">
        <v>75</v>
      </c>
      <c r="D189" s="7">
        <v>103</v>
      </c>
      <c r="E189" s="7">
        <v>108</v>
      </c>
      <c r="F189" s="7">
        <v>72</v>
      </c>
      <c r="G189" s="7">
        <v>43</v>
      </c>
      <c r="H189" s="7">
        <v>38</v>
      </c>
      <c r="I189" s="7">
        <v>35</v>
      </c>
      <c r="J189" s="7">
        <v>35</v>
      </c>
      <c r="K189" s="7">
        <v>35</v>
      </c>
      <c r="L189" s="7">
        <v>40</v>
      </c>
      <c r="M189" s="7">
        <v>50</v>
      </c>
      <c r="N189" s="7">
        <v>80</v>
      </c>
      <c r="O189" s="1"/>
    </row>
    <row r="190" spans="1:15" ht="13.8" x14ac:dyDescent="0.25">
      <c r="A190" s="10" t="s">
        <v>7</v>
      </c>
      <c r="B190" s="1"/>
      <c r="C190" s="6">
        <v>2.2000000000000002</v>
      </c>
      <c r="D190" s="6">
        <v>4.2</v>
      </c>
      <c r="E190" s="6">
        <v>5.4</v>
      </c>
      <c r="F190" s="6">
        <v>6</v>
      </c>
      <c r="G190" s="6">
        <v>7.7</v>
      </c>
      <c r="H190" s="6">
        <v>7</v>
      </c>
      <c r="I190" s="6">
        <v>5.7</v>
      </c>
      <c r="J190" s="6">
        <v>2.8</v>
      </c>
      <c r="K190" s="6">
        <v>1.4</v>
      </c>
      <c r="L190" s="6">
        <v>0.9</v>
      </c>
      <c r="M190" s="6">
        <v>1.6</v>
      </c>
      <c r="N190" s="6">
        <v>1.3</v>
      </c>
      <c r="O190" s="1"/>
    </row>
    <row r="191" spans="1:15" ht="13.8" x14ac:dyDescent="0.25">
      <c r="A191" s="10" t="s">
        <v>9</v>
      </c>
      <c r="B191" s="1"/>
      <c r="C191" s="7">
        <v>54</v>
      </c>
      <c r="D191" s="7">
        <v>165</v>
      </c>
      <c r="E191" s="7">
        <v>195</v>
      </c>
      <c r="F191" s="7">
        <v>127</v>
      </c>
      <c r="G191" s="7">
        <v>105</v>
      </c>
      <c r="H191" s="7">
        <v>90</v>
      </c>
      <c r="I191" s="7">
        <v>69</v>
      </c>
      <c r="J191" s="7">
        <v>71</v>
      </c>
      <c r="K191" s="7">
        <v>12</v>
      </c>
      <c r="L191" s="7">
        <v>12</v>
      </c>
      <c r="M191" s="7">
        <v>14</v>
      </c>
      <c r="N191" s="7">
        <v>23</v>
      </c>
      <c r="O191" s="1"/>
    </row>
    <row r="192" spans="1:15" ht="13.8" x14ac:dyDescent="0.25">
      <c r="A192" s="10" t="s">
        <v>56</v>
      </c>
      <c r="B192" s="1"/>
      <c r="C192" s="6">
        <v>58.5</v>
      </c>
      <c r="D192" s="6">
        <v>62.6</v>
      </c>
      <c r="E192" s="6">
        <v>67</v>
      </c>
      <c r="F192" s="6">
        <v>67</v>
      </c>
      <c r="G192" s="6">
        <v>67</v>
      </c>
      <c r="H192" s="6">
        <v>67</v>
      </c>
      <c r="I192" s="6">
        <v>63.8</v>
      </c>
      <c r="J192" s="6">
        <v>57</v>
      </c>
      <c r="K192" s="6">
        <v>57</v>
      </c>
      <c r="L192" s="6">
        <v>57</v>
      </c>
      <c r="M192" s="6">
        <v>57</v>
      </c>
      <c r="N192" s="6">
        <v>57</v>
      </c>
      <c r="O192" s="1"/>
    </row>
    <row r="193" spans="1:15" ht="13.8" x14ac:dyDescent="0.25">
      <c r="A193" s="10" t="s">
        <v>57</v>
      </c>
      <c r="B193" s="1"/>
      <c r="C193" s="7">
        <v>200</v>
      </c>
      <c r="D193" s="7">
        <v>1537</v>
      </c>
      <c r="E193" s="7">
        <v>1242</v>
      </c>
      <c r="F193" s="7">
        <v>363</v>
      </c>
      <c r="G193" s="7">
        <v>250</v>
      </c>
      <c r="H193" s="7">
        <v>250</v>
      </c>
      <c r="I193" s="7">
        <v>250</v>
      </c>
      <c r="J193" s="7">
        <v>774</v>
      </c>
      <c r="K193" s="7">
        <v>200</v>
      </c>
      <c r="L193" s="7">
        <v>200</v>
      </c>
      <c r="M193" s="7">
        <v>226</v>
      </c>
      <c r="N193" s="7">
        <v>229</v>
      </c>
      <c r="O193" s="1"/>
    </row>
    <row r="194" spans="1:15" ht="13.8" x14ac:dyDescent="0.25">
      <c r="A194" s="10" t="s">
        <v>58</v>
      </c>
      <c r="B194" s="1"/>
      <c r="C194" s="7">
        <v>12</v>
      </c>
      <c r="D194" s="7">
        <v>83</v>
      </c>
      <c r="E194" s="7">
        <v>96</v>
      </c>
      <c r="F194" s="7">
        <v>22</v>
      </c>
      <c r="G194" s="7">
        <v>15</v>
      </c>
      <c r="H194" s="7">
        <v>15</v>
      </c>
      <c r="I194" s="7">
        <v>15</v>
      </c>
      <c r="J194" s="7">
        <v>48</v>
      </c>
      <c r="K194" s="7">
        <v>12</v>
      </c>
      <c r="L194" s="7">
        <v>12</v>
      </c>
      <c r="M194" s="7">
        <v>14</v>
      </c>
      <c r="N194" s="7">
        <v>13</v>
      </c>
      <c r="O194" s="1"/>
    </row>
    <row r="195" spans="1:15" ht="13.8" x14ac:dyDescent="0.25">
      <c r="A195" s="10" t="s">
        <v>59</v>
      </c>
      <c r="B195" s="1"/>
      <c r="C195" s="7">
        <v>25</v>
      </c>
      <c r="D195" s="7">
        <v>70</v>
      </c>
      <c r="E195" s="7">
        <v>85</v>
      </c>
      <c r="F195" s="7">
        <v>95</v>
      </c>
      <c r="G195" s="7">
        <v>75</v>
      </c>
      <c r="H195" s="7">
        <v>65</v>
      </c>
      <c r="I195" s="7">
        <v>50</v>
      </c>
      <c r="J195" s="7">
        <v>26</v>
      </c>
      <c r="K195" s="7">
        <v>0</v>
      </c>
      <c r="L195" s="7">
        <v>0</v>
      </c>
      <c r="M195" s="7">
        <v>0</v>
      </c>
      <c r="N195" s="7">
        <v>10</v>
      </c>
      <c r="O195" s="1"/>
    </row>
    <row r="196" spans="1:15" ht="13.8" x14ac:dyDescent="0.25">
      <c r="A196" s="10" t="s">
        <v>60</v>
      </c>
      <c r="B196" s="1"/>
      <c r="C196" s="7">
        <v>7</v>
      </c>
      <c r="D196" s="7">
        <v>8</v>
      </c>
      <c r="E196" s="7">
        <v>10</v>
      </c>
      <c r="F196" s="7">
        <v>10</v>
      </c>
      <c r="G196" s="7">
        <v>15</v>
      </c>
      <c r="H196" s="7">
        <v>10</v>
      </c>
      <c r="I196" s="7">
        <v>7</v>
      </c>
      <c r="J196" s="7">
        <v>4</v>
      </c>
      <c r="K196" s="7">
        <v>0</v>
      </c>
      <c r="L196" s="7">
        <v>0</v>
      </c>
      <c r="M196" s="7">
        <v>0</v>
      </c>
      <c r="N196" s="7">
        <v>0</v>
      </c>
      <c r="O196" s="1"/>
    </row>
    <row r="197" spans="1:15" ht="13.8" x14ac:dyDescent="0.25">
      <c r="A197" s="10" t="s">
        <v>43</v>
      </c>
      <c r="B197" s="7">
        <v>1920</v>
      </c>
      <c r="C197" s="7">
        <v>1939</v>
      </c>
      <c r="D197" s="7">
        <v>1872</v>
      </c>
      <c r="E197" s="7">
        <v>1780</v>
      </c>
      <c r="F197" s="7">
        <v>1719</v>
      </c>
      <c r="G197" s="7">
        <v>1649</v>
      </c>
      <c r="H197" s="7">
        <v>1590</v>
      </c>
      <c r="I197" s="7">
        <v>1551</v>
      </c>
      <c r="J197" s="7">
        <v>1512</v>
      </c>
      <c r="K197" s="7">
        <v>1534</v>
      </c>
      <c r="L197" s="7">
        <v>1561</v>
      </c>
      <c r="M197" s="7">
        <v>1595</v>
      </c>
      <c r="N197" s="7">
        <v>1651</v>
      </c>
      <c r="O197" s="1"/>
    </row>
    <row r="198" spans="1:15" ht="13.8" x14ac:dyDescent="0.25">
      <c r="A198" s="10" t="s">
        <v>19</v>
      </c>
      <c r="B198" s="1"/>
      <c r="C198" s="7">
        <v>1047</v>
      </c>
      <c r="D198" s="7">
        <v>1041</v>
      </c>
      <c r="E198" s="7">
        <v>1032</v>
      </c>
      <c r="F198" s="7">
        <v>1026</v>
      </c>
      <c r="G198" s="7">
        <v>1019</v>
      </c>
      <c r="H198" s="7">
        <v>1013</v>
      </c>
      <c r="I198" s="7">
        <v>1009</v>
      </c>
      <c r="J198" s="7">
        <v>1004</v>
      </c>
      <c r="K198" s="7">
        <v>1007</v>
      </c>
      <c r="L198" s="7">
        <v>1010</v>
      </c>
      <c r="M198" s="7">
        <v>1013</v>
      </c>
      <c r="N198" s="7">
        <v>1019</v>
      </c>
      <c r="O198" s="1"/>
    </row>
    <row r="199" spans="1:15" ht="13.8" x14ac:dyDescent="0.25">
      <c r="A199" s="10" t="s">
        <v>21</v>
      </c>
      <c r="B199" s="1"/>
      <c r="C199" s="7">
        <v>10809</v>
      </c>
      <c r="D199" s="7">
        <v>10887</v>
      </c>
      <c r="E199" s="7">
        <v>10656</v>
      </c>
      <c r="F199" s="7">
        <v>10314</v>
      </c>
      <c r="G199" s="7">
        <v>10089</v>
      </c>
      <c r="H199" s="7">
        <v>9829</v>
      </c>
      <c r="I199" s="7">
        <v>9609</v>
      </c>
      <c r="J199" s="7">
        <v>9463</v>
      </c>
      <c r="K199" s="7">
        <v>9282</v>
      </c>
      <c r="L199" s="7">
        <v>9391</v>
      </c>
      <c r="M199" s="7">
        <v>9499</v>
      </c>
      <c r="N199" s="7">
        <v>9609</v>
      </c>
      <c r="O199" s="1"/>
    </row>
    <row r="200" spans="1:15" ht="13.8" x14ac:dyDescent="0.25">
      <c r="A200" s="10" t="s">
        <v>61</v>
      </c>
      <c r="B200" s="1"/>
      <c r="C200" s="7">
        <v>108</v>
      </c>
      <c r="D200" s="7">
        <v>89</v>
      </c>
      <c r="E200" s="7">
        <v>98</v>
      </c>
      <c r="F200" s="7">
        <v>47</v>
      </c>
      <c r="G200" s="7">
        <v>39</v>
      </c>
      <c r="H200" s="7">
        <v>37</v>
      </c>
      <c r="I200" s="7">
        <v>42</v>
      </c>
      <c r="J200" s="7">
        <v>69</v>
      </c>
      <c r="K200" s="7">
        <v>71</v>
      </c>
      <c r="L200" s="7">
        <v>71</v>
      </c>
      <c r="M200" s="7">
        <v>79</v>
      </c>
      <c r="N200" s="7">
        <v>99</v>
      </c>
      <c r="O200" s="1"/>
    </row>
    <row r="201" spans="1:15" ht="13.8" x14ac:dyDescent="0.25">
      <c r="A201" s="10" t="s">
        <v>62</v>
      </c>
      <c r="B201" s="12"/>
      <c r="C201" s="7">
        <v>1957</v>
      </c>
      <c r="D201" s="7">
        <v>2897</v>
      </c>
      <c r="E201" s="7">
        <v>3150</v>
      </c>
      <c r="F201" s="7">
        <v>1153</v>
      </c>
      <c r="G201" s="7">
        <v>884</v>
      </c>
      <c r="H201" s="7">
        <v>852</v>
      </c>
      <c r="I201" s="7">
        <v>956</v>
      </c>
      <c r="J201" s="7">
        <v>1897</v>
      </c>
      <c r="K201" s="7">
        <v>1393</v>
      </c>
      <c r="L201" s="7">
        <v>1355</v>
      </c>
      <c r="M201" s="7">
        <v>1511</v>
      </c>
      <c r="N201" s="7">
        <v>2012</v>
      </c>
      <c r="O201" s="1"/>
    </row>
    <row r="202" spans="1:15" ht="13.8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3.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3.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3.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3.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3.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3.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3.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3.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3.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3.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3.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3.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3.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.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.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.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.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3.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3.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.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.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3.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3.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3.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3.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3.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6" x14ac:dyDescent="0.3">
      <c r="A229" s="1"/>
      <c r="B229" s="3"/>
      <c r="C229" s="4" t="s">
        <v>12</v>
      </c>
      <c r="D229" s="4" t="s">
        <v>14</v>
      </c>
      <c r="E229" s="4" t="s">
        <v>16</v>
      </c>
      <c r="F229" s="4" t="s">
        <v>18</v>
      </c>
      <c r="G229" s="4" t="s">
        <v>92</v>
      </c>
      <c r="H229" s="4" t="s">
        <v>22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8</v>
      </c>
      <c r="N229" s="4" t="s">
        <v>10</v>
      </c>
      <c r="O229" s="1"/>
    </row>
    <row r="230" spans="1:15" ht="15.6" x14ac:dyDescent="0.3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3.8" x14ac:dyDescent="0.25">
      <c r="A231" s="10" t="s">
        <v>64</v>
      </c>
      <c r="B231" s="1"/>
      <c r="C231" s="8">
        <v>70</v>
      </c>
      <c r="D231" s="8">
        <v>-85</v>
      </c>
      <c r="E231" s="8">
        <v>-158</v>
      </c>
      <c r="F231" s="8">
        <v>-252</v>
      </c>
      <c r="G231" s="8">
        <v>-214</v>
      </c>
      <c r="H231" s="8">
        <v>-80</v>
      </c>
      <c r="I231" s="8">
        <v>86</v>
      </c>
      <c r="J231" s="8">
        <v>143</v>
      </c>
      <c r="K231" s="8">
        <v>203</v>
      </c>
      <c r="L231" s="8">
        <v>229</v>
      </c>
      <c r="M231" s="8">
        <v>159</v>
      </c>
      <c r="N231" s="8">
        <v>115</v>
      </c>
      <c r="O231" s="1"/>
    </row>
    <row r="232" spans="1:15" ht="13.8" x14ac:dyDescent="0.25">
      <c r="A232" s="10" t="s">
        <v>65</v>
      </c>
      <c r="B232" s="1">
        <v>841</v>
      </c>
      <c r="C232" s="8">
        <v>902</v>
      </c>
      <c r="D232" s="8">
        <v>802</v>
      </c>
      <c r="E232" s="8">
        <v>627</v>
      </c>
      <c r="F232" s="8">
        <v>359</v>
      </c>
      <c r="G232" s="8">
        <v>127</v>
      </c>
      <c r="H232" s="8">
        <v>31</v>
      </c>
      <c r="I232" s="8">
        <v>105</v>
      </c>
      <c r="J232" s="8">
        <v>237</v>
      </c>
      <c r="K232" s="8">
        <v>432</v>
      </c>
      <c r="L232" s="8">
        <v>653</v>
      </c>
      <c r="M232" s="8">
        <v>806</v>
      </c>
      <c r="N232" s="8">
        <v>916</v>
      </c>
      <c r="O232" s="1"/>
    </row>
    <row r="233" spans="1:15" ht="13.8" x14ac:dyDescent="0.25">
      <c r="A233" s="10" t="s">
        <v>66</v>
      </c>
      <c r="B233" s="8"/>
      <c r="C233" s="8">
        <v>110</v>
      </c>
      <c r="D233" s="8">
        <v>-67</v>
      </c>
      <c r="E233" s="8">
        <v>-69</v>
      </c>
      <c r="F233" s="8">
        <v>-56</v>
      </c>
      <c r="G233" s="8">
        <v>-55</v>
      </c>
      <c r="H233" s="8">
        <v>-67</v>
      </c>
      <c r="I233" s="8">
        <v>57</v>
      </c>
      <c r="J233" s="8">
        <v>105</v>
      </c>
      <c r="K233" s="8">
        <v>159</v>
      </c>
      <c r="L233" s="8">
        <v>210</v>
      </c>
      <c r="M233" s="8">
        <v>27</v>
      </c>
      <c r="N233" s="8">
        <v>72</v>
      </c>
      <c r="O233" s="1"/>
    </row>
    <row r="234" spans="1:15" ht="13.8" x14ac:dyDescent="0.25">
      <c r="A234" s="10" t="s">
        <v>67</v>
      </c>
      <c r="B234" s="8">
        <v>697</v>
      </c>
      <c r="C234" s="8">
        <v>806</v>
      </c>
      <c r="D234" s="8">
        <v>736</v>
      </c>
      <c r="E234" s="8">
        <v>663</v>
      </c>
      <c r="F234" s="8">
        <v>604</v>
      </c>
      <c r="G234" s="8">
        <v>545</v>
      </c>
      <c r="H234" s="8">
        <v>474</v>
      </c>
      <c r="I234" s="8">
        <v>528</v>
      </c>
      <c r="J234" s="8">
        <v>632</v>
      </c>
      <c r="K234" s="8">
        <v>790</v>
      </c>
      <c r="L234" s="8">
        <v>999</v>
      </c>
      <c r="M234" s="8">
        <v>1025</v>
      </c>
      <c r="N234" s="8">
        <v>1095</v>
      </c>
      <c r="O234" s="1"/>
    </row>
    <row r="235" spans="1:15" ht="13.8" x14ac:dyDescent="0.25">
      <c r="A235" s="10" t="s">
        <v>68</v>
      </c>
      <c r="B235" s="15">
        <v>1538</v>
      </c>
      <c r="C235" s="8">
        <v>1708</v>
      </c>
      <c r="D235" s="8">
        <v>1538</v>
      </c>
      <c r="E235" s="8">
        <v>1290</v>
      </c>
      <c r="F235" s="8">
        <v>963</v>
      </c>
      <c r="G235" s="8">
        <v>672</v>
      </c>
      <c r="H235" s="8">
        <v>505</v>
      </c>
      <c r="I235" s="8">
        <v>633</v>
      </c>
      <c r="J235" s="8">
        <v>869</v>
      </c>
      <c r="K235" s="8">
        <v>1222</v>
      </c>
      <c r="L235" s="8">
        <v>1652</v>
      </c>
      <c r="M235" s="8">
        <v>1831</v>
      </c>
      <c r="N235" s="8">
        <v>2011</v>
      </c>
      <c r="O235" s="1"/>
    </row>
    <row r="236" spans="1:15" ht="13.8" x14ac:dyDescent="0.25">
      <c r="A236" s="10" t="s">
        <v>21</v>
      </c>
      <c r="B236" s="1"/>
      <c r="C236" s="8">
        <v>11673</v>
      </c>
      <c r="D236" s="8">
        <v>12023</v>
      </c>
      <c r="E236" s="8">
        <v>11673</v>
      </c>
      <c r="F236" s="8">
        <v>11042</v>
      </c>
      <c r="G236" s="8">
        <v>9946</v>
      </c>
      <c r="H236" s="8">
        <v>8683</v>
      </c>
      <c r="I236" s="8">
        <v>7764</v>
      </c>
      <c r="J236" s="8">
        <v>8461</v>
      </c>
      <c r="K236" s="8">
        <v>9560</v>
      </c>
      <c r="L236" s="8">
        <v>10787</v>
      </c>
      <c r="M236" s="8">
        <v>11902</v>
      </c>
      <c r="N236" s="8">
        <v>12248</v>
      </c>
    </row>
    <row r="237" spans="1:15" ht="13.8" x14ac:dyDescent="0.25">
      <c r="A237" s="10" t="s">
        <v>69</v>
      </c>
      <c r="C237" s="8">
        <v>517</v>
      </c>
      <c r="D237" s="8">
        <v>503</v>
      </c>
      <c r="E237" s="8">
        <v>481</v>
      </c>
      <c r="F237" s="8">
        <v>449</v>
      </c>
      <c r="G237" s="8">
        <v>418</v>
      </c>
      <c r="H237" s="8">
        <v>398</v>
      </c>
      <c r="I237" s="8">
        <v>413</v>
      </c>
      <c r="J237" s="8">
        <v>439</v>
      </c>
      <c r="K237" s="8">
        <v>473</v>
      </c>
      <c r="L237" s="8">
        <v>512</v>
      </c>
      <c r="M237" s="8">
        <v>527</v>
      </c>
      <c r="N237" s="8">
        <v>542</v>
      </c>
    </row>
    <row r="263" spans="1:14" ht="15.6" x14ac:dyDescent="0.3">
      <c r="A263" s="1"/>
      <c r="B263" s="4"/>
      <c r="C263" s="4" t="s">
        <v>12</v>
      </c>
      <c r="D263" s="4" t="s">
        <v>14</v>
      </c>
      <c r="E263" s="4" t="s">
        <v>16</v>
      </c>
      <c r="F263" s="4" t="s">
        <v>18</v>
      </c>
      <c r="G263" s="4" t="s">
        <v>92</v>
      </c>
      <c r="H263" s="4" t="s">
        <v>22</v>
      </c>
      <c r="I263" s="4" t="s">
        <v>23</v>
      </c>
      <c r="J263" s="4" t="s">
        <v>24</v>
      </c>
      <c r="K263" s="4" t="s">
        <v>25</v>
      </c>
      <c r="L263" s="4" t="s">
        <v>26</v>
      </c>
      <c r="M263" s="4" t="s">
        <v>8</v>
      </c>
      <c r="N263" s="4" t="s">
        <v>10</v>
      </c>
    </row>
    <row r="264" spans="1:14" ht="15.6" x14ac:dyDescent="0.3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3.8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0</v>
      </c>
      <c r="G265" s="7">
        <v>11</v>
      </c>
      <c r="H265" s="7">
        <v>11</v>
      </c>
      <c r="I265" s="7">
        <v>11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3.8" x14ac:dyDescent="0.25">
      <c r="A266" s="1" t="s">
        <v>72</v>
      </c>
      <c r="B266" s="1"/>
      <c r="C266" s="6">
        <v>12.7</v>
      </c>
      <c r="D266" s="6">
        <v>12.7</v>
      </c>
      <c r="E266" s="6">
        <v>12.7</v>
      </c>
      <c r="F266" s="6">
        <v>9.8000000000000007</v>
      </c>
      <c r="G266" s="6">
        <v>11.1</v>
      </c>
      <c r="H266" s="6">
        <v>12.7</v>
      </c>
      <c r="I266" s="6">
        <v>14</v>
      </c>
      <c r="J266" s="6">
        <v>16.8</v>
      </c>
      <c r="K266" s="6">
        <v>18.399999999999999</v>
      </c>
      <c r="L266" s="6">
        <v>18.3</v>
      </c>
      <c r="M266" s="6">
        <v>14</v>
      </c>
      <c r="N266" s="6">
        <v>14</v>
      </c>
    </row>
    <row r="267" spans="1:14" ht="13.8" x14ac:dyDescent="0.25">
      <c r="A267" s="1" t="s">
        <v>73</v>
      </c>
      <c r="B267" s="1"/>
      <c r="C267" s="7">
        <v>200</v>
      </c>
      <c r="D267" s="7">
        <v>48</v>
      </c>
      <c r="E267" s="7">
        <v>49</v>
      </c>
      <c r="F267" s="7">
        <v>40</v>
      </c>
      <c r="G267" s="7">
        <v>111</v>
      </c>
      <c r="H267" s="7">
        <v>190</v>
      </c>
      <c r="I267" s="7">
        <v>252</v>
      </c>
      <c r="J267" s="7">
        <v>265</v>
      </c>
      <c r="K267" s="7">
        <v>254</v>
      </c>
      <c r="L267" s="7">
        <v>260</v>
      </c>
      <c r="M267" s="7">
        <v>195</v>
      </c>
      <c r="N267" s="7">
        <v>185</v>
      </c>
    </row>
    <row r="268" spans="1:14" ht="13.8" x14ac:dyDescent="0.25">
      <c r="A268" s="1" t="s">
        <v>74</v>
      </c>
      <c r="B268" s="1"/>
      <c r="C268" s="7">
        <v>213</v>
      </c>
      <c r="D268" s="7">
        <v>60</v>
      </c>
      <c r="E268" s="7">
        <v>62</v>
      </c>
      <c r="F268" s="7">
        <v>50</v>
      </c>
      <c r="G268" s="7">
        <v>133</v>
      </c>
      <c r="H268" s="7">
        <v>214</v>
      </c>
      <c r="I268" s="7">
        <v>277</v>
      </c>
      <c r="J268" s="7">
        <v>282</v>
      </c>
      <c r="K268" s="7">
        <v>272</v>
      </c>
      <c r="L268" s="7">
        <v>278</v>
      </c>
      <c r="M268" s="7">
        <v>209</v>
      </c>
      <c r="N268" s="7">
        <v>199</v>
      </c>
    </row>
    <row r="269" spans="1:14" ht="13.8" x14ac:dyDescent="0.25">
      <c r="A269" s="1" t="s">
        <v>75</v>
      </c>
      <c r="B269" s="1"/>
      <c r="C269" s="8">
        <v>200</v>
      </c>
      <c r="D269" s="8">
        <v>42</v>
      </c>
      <c r="E269" s="8">
        <v>43</v>
      </c>
      <c r="F269" s="8">
        <v>80</v>
      </c>
      <c r="G269" s="8">
        <v>66</v>
      </c>
      <c r="H269" s="8">
        <v>52</v>
      </c>
      <c r="I269" s="8">
        <v>135</v>
      </c>
      <c r="J269" s="8">
        <v>195</v>
      </c>
      <c r="K269" s="8">
        <v>229</v>
      </c>
      <c r="L269" s="8">
        <v>260</v>
      </c>
      <c r="M269" s="8">
        <v>195</v>
      </c>
      <c r="N269" s="8">
        <v>185</v>
      </c>
    </row>
    <row r="270" spans="1:14" ht="13.8" x14ac:dyDescent="0.25">
      <c r="A270" s="1" t="s">
        <v>76</v>
      </c>
      <c r="B270" s="1"/>
      <c r="C270" s="7">
        <v>413</v>
      </c>
      <c r="D270" s="7">
        <v>102</v>
      </c>
      <c r="E270" s="7">
        <v>105</v>
      </c>
      <c r="F270" s="7">
        <v>130</v>
      </c>
      <c r="G270" s="7">
        <v>199</v>
      </c>
      <c r="H270" s="7">
        <v>266</v>
      </c>
      <c r="I270" s="7">
        <v>412</v>
      </c>
      <c r="J270" s="7">
        <v>477</v>
      </c>
      <c r="K270" s="7">
        <v>501</v>
      </c>
      <c r="L270" s="7">
        <v>538</v>
      </c>
      <c r="M270" s="7">
        <v>404</v>
      </c>
      <c r="N270" s="7">
        <v>384</v>
      </c>
    </row>
    <row r="271" spans="1:14" ht="13.8" x14ac:dyDescent="0.25">
      <c r="A271" s="1" t="s">
        <v>77</v>
      </c>
      <c r="B271" s="1"/>
      <c r="C271" s="6">
        <v>0</v>
      </c>
      <c r="D271" s="6">
        <v>-28</v>
      </c>
      <c r="E271" s="6">
        <v>-67.099999999999994</v>
      </c>
      <c r="F271" s="6">
        <v>51</v>
      </c>
      <c r="G271" s="6">
        <v>44</v>
      </c>
      <c r="H271" s="6">
        <v>0</v>
      </c>
      <c r="I271" s="6">
        <v>87.3</v>
      </c>
      <c r="J271" s="6">
        <v>25.5</v>
      </c>
      <c r="K271" s="6">
        <v>-0.8</v>
      </c>
      <c r="L271" s="6">
        <v>0</v>
      </c>
      <c r="M271" s="6">
        <v>0</v>
      </c>
      <c r="N271" s="6">
        <v>0</v>
      </c>
    </row>
    <row r="272" spans="1:14" ht="13.8" x14ac:dyDescent="0.25">
      <c r="A272" s="1" t="s">
        <v>78</v>
      </c>
      <c r="B272" s="1"/>
      <c r="C272" s="6">
        <v>0</v>
      </c>
      <c r="D272" s="6">
        <v>-28</v>
      </c>
      <c r="E272" s="6">
        <v>-95.1</v>
      </c>
      <c r="F272" s="6">
        <v>-44.1</v>
      </c>
      <c r="G272" s="6">
        <v>-0.1</v>
      </c>
      <c r="H272" s="6">
        <v>-0.1</v>
      </c>
      <c r="I272" s="6">
        <v>87.2</v>
      </c>
      <c r="J272" s="6">
        <v>112.7</v>
      </c>
      <c r="K272" s="6">
        <v>111.9</v>
      </c>
      <c r="L272" s="6">
        <v>111.9</v>
      </c>
      <c r="M272" s="6">
        <v>111.9</v>
      </c>
      <c r="N272" s="6">
        <v>111.9</v>
      </c>
    </row>
    <row r="273" spans="1:15" ht="13.8" x14ac:dyDescent="0.25">
      <c r="A273" s="1" t="s">
        <v>79</v>
      </c>
      <c r="B273" s="1"/>
      <c r="C273" s="8">
        <v>986</v>
      </c>
      <c r="D273" s="8">
        <v>653</v>
      </c>
      <c r="E273" s="8">
        <v>473</v>
      </c>
      <c r="F273" s="8">
        <v>446</v>
      </c>
      <c r="G273" s="8">
        <v>307</v>
      </c>
      <c r="H273" s="8">
        <v>224</v>
      </c>
      <c r="I273" s="8">
        <v>179</v>
      </c>
      <c r="J273" s="8">
        <v>246</v>
      </c>
      <c r="K273" s="8">
        <v>268</v>
      </c>
      <c r="L273" s="8">
        <v>446</v>
      </c>
      <c r="M273" s="8">
        <v>826</v>
      </c>
      <c r="N273" s="8">
        <v>1028</v>
      </c>
    </row>
    <row r="274" spans="1:15" ht="13.8" x14ac:dyDescent="0.25">
      <c r="A274" s="1" t="s">
        <v>80</v>
      </c>
      <c r="B274" s="1"/>
      <c r="C274" s="8">
        <v>532</v>
      </c>
      <c r="D274" s="8">
        <v>0</v>
      </c>
      <c r="E274" s="8">
        <v>0</v>
      </c>
      <c r="F274" s="8">
        <v>0</v>
      </c>
      <c r="G274" s="8">
        <v>0</v>
      </c>
      <c r="H274" s="8">
        <v>9</v>
      </c>
      <c r="I274" s="8">
        <v>0</v>
      </c>
      <c r="J274" s="8">
        <v>0</v>
      </c>
      <c r="K274" s="8">
        <v>0</v>
      </c>
      <c r="L274" s="8">
        <v>169</v>
      </c>
      <c r="M274" s="8">
        <v>549</v>
      </c>
      <c r="N274" s="8">
        <v>395</v>
      </c>
    </row>
    <row r="275" spans="1:15" ht="13.8" x14ac:dyDescent="0.25">
      <c r="A275" s="16" t="s">
        <v>81</v>
      </c>
      <c r="B275" s="16"/>
      <c r="C275" s="17">
        <v>20411</v>
      </c>
      <c r="D275" s="17">
        <v>10688</v>
      </c>
      <c r="E275" s="17">
        <v>7600</v>
      </c>
      <c r="F275" s="17">
        <v>11379</v>
      </c>
      <c r="G275" s="17">
        <v>11431</v>
      </c>
      <c r="H275" s="17">
        <v>10773</v>
      </c>
      <c r="I275" s="17">
        <v>11445</v>
      </c>
      <c r="J275" s="17">
        <v>11269</v>
      </c>
      <c r="K275" s="17">
        <v>12052</v>
      </c>
      <c r="L275" s="17">
        <v>14310</v>
      </c>
      <c r="M275" s="17">
        <v>17352</v>
      </c>
      <c r="N275" s="17">
        <v>22515</v>
      </c>
    </row>
    <row r="276" spans="1:15" ht="13.8" x14ac:dyDescent="0.25">
      <c r="A276" s="1" t="s">
        <v>82</v>
      </c>
      <c r="B276" s="1"/>
      <c r="C276" s="18" t="s">
        <v>90</v>
      </c>
      <c r="D276" s="18" t="s">
        <v>90</v>
      </c>
      <c r="E276" s="18" t="s">
        <v>90</v>
      </c>
      <c r="F276" s="18" t="s">
        <v>91</v>
      </c>
      <c r="G276" s="18" t="s">
        <v>91</v>
      </c>
      <c r="H276" s="18" t="s">
        <v>91</v>
      </c>
      <c r="I276" s="18" t="s">
        <v>91</v>
      </c>
      <c r="J276" s="18" t="s">
        <v>91</v>
      </c>
      <c r="K276" s="18" t="s">
        <v>91</v>
      </c>
      <c r="L276" s="18" t="s">
        <v>90</v>
      </c>
      <c r="M276" s="18" t="s">
        <v>90</v>
      </c>
      <c r="N276" s="18" t="s">
        <v>90</v>
      </c>
    </row>
    <row r="277" spans="1:15" ht="13.8" x14ac:dyDescent="0.25">
      <c r="A277" s="1" t="s">
        <v>83</v>
      </c>
      <c r="B277" s="1"/>
      <c r="C277" s="19">
        <v>0.28999999999999998</v>
      </c>
      <c r="D277" s="19">
        <v>0.11</v>
      </c>
      <c r="E277" s="19">
        <v>0.14000000000000001</v>
      </c>
      <c r="F277" s="19">
        <v>0.16</v>
      </c>
      <c r="G277" s="19">
        <v>0.25</v>
      </c>
      <c r="H277" s="19">
        <v>0.35</v>
      </c>
      <c r="I277" s="19">
        <v>0.54</v>
      </c>
      <c r="J277" s="19">
        <v>0.56999999999999995</v>
      </c>
      <c r="K277" s="19">
        <v>0.6</v>
      </c>
      <c r="L277" s="19">
        <v>0.53</v>
      </c>
      <c r="M277" s="19">
        <v>0.33</v>
      </c>
      <c r="N277" s="19">
        <v>0.27</v>
      </c>
    </row>
    <row r="278" spans="1:15" ht="13.8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0.35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0.65</v>
      </c>
      <c r="N278" s="20">
        <v>0.45</v>
      </c>
    </row>
    <row r="279" spans="1:15" ht="13.8" x14ac:dyDescent="0.25">
      <c r="A279" s="1" t="s">
        <v>85</v>
      </c>
      <c r="B279" s="1"/>
      <c r="C279" s="6">
        <v>73.2</v>
      </c>
      <c r="D279" s="6">
        <v>74.900000000000006</v>
      </c>
      <c r="E279" s="6">
        <v>78.2</v>
      </c>
      <c r="F279" s="6">
        <v>79.400000000000006</v>
      </c>
      <c r="G279" s="6">
        <v>83</v>
      </c>
      <c r="H279" s="6">
        <v>86.5</v>
      </c>
      <c r="I279" s="6">
        <v>89.2</v>
      </c>
      <c r="J279" s="6">
        <v>87.9</v>
      </c>
      <c r="K279" s="6">
        <v>86.5</v>
      </c>
      <c r="L279" s="6">
        <v>82.4</v>
      </c>
      <c r="M279" s="6">
        <v>76.400000000000006</v>
      </c>
      <c r="N279" s="6">
        <v>71.900000000000006</v>
      </c>
      <c r="O279" s="1"/>
    </row>
    <row r="280" spans="1:15" ht="13.8" x14ac:dyDescent="0.25">
      <c r="A280" s="1" t="s">
        <v>86</v>
      </c>
    </row>
    <row r="281" spans="1:15" ht="13.8" x14ac:dyDescent="0.25">
      <c r="A281" s="1"/>
    </row>
    <row r="282" spans="1:15" ht="15.6" x14ac:dyDescent="0.3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6" x14ac:dyDescent="0.3">
      <c r="A286" s="5" t="s">
        <v>87</v>
      </c>
    </row>
    <row r="287" spans="1:15" ht="15.6" x14ac:dyDescent="0.3">
      <c r="A287" s="5" t="s">
        <v>27</v>
      </c>
    </row>
    <row r="288" spans="1:15" ht="15.6" x14ac:dyDescent="0.3">
      <c r="A288" s="5" t="s">
        <v>1</v>
      </c>
    </row>
    <row r="289" spans="1:1" ht="15.6" x14ac:dyDescent="0.3">
      <c r="A289" s="5" t="s">
        <v>41</v>
      </c>
    </row>
    <row r="290" spans="1:1" ht="15.6" x14ac:dyDescent="0.3">
      <c r="A290" s="5" t="s">
        <v>48</v>
      </c>
    </row>
    <row r="291" spans="1:1" ht="15.6" x14ac:dyDescent="0.3">
      <c r="A291" s="5" t="s">
        <v>55</v>
      </c>
    </row>
    <row r="292" spans="1:1" ht="15.6" x14ac:dyDescent="0.3">
      <c r="A292" s="5" t="s">
        <v>88</v>
      </c>
    </row>
    <row r="293" spans="1:1" ht="15.6" x14ac:dyDescent="0.3">
      <c r="A293" s="5" t="s">
        <v>89</v>
      </c>
    </row>
  </sheetData>
  <pageMargins left="0.75" right="0.75" top="1" bottom="1" header="0.5" footer="0.5"/>
  <pageSetup scale="57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autoPict="0" linkedCell="B1" listFillRange="A286:A293" r:id="rId5">
            <anchor moveWithCells="1">
              <from>
                <xdr:col>1</xdr:col>
                <xdr:colOff>45720</xdr:colOff>
                <xdr:row>0</xdr:row>
                <xdr:rowOff>0</xdr:rowOff>
              </from>
              <to>
                <xdr:col>3</xdr:col>
                <xdr:colOff>76200</xdr:colOff>
                <xdr:row>1</xdr:row>
                <xdr:rowOff>121920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26" r:id="rId6" name="CommandButton1">
          <controlPr autoLine="0" autoPict="0" r:id="rId7">
            <anchor moveWithCells="1">
              <from>
                <xdr:col>4</xdr:col>
                <xdr:colOff>464820</xdr:colOff>
                <xdr:row>0</xdr:row>
                <xdr:rowOff>45720</xdr:rowOff>
              </from>
              <to>
                <xdr:col>6</xdr:col>
                <xdr:colOff>220980</xdr:colOff>
                <xdr:row>1</xdr:row>
                <xdr:rowOff>160020</xdr:rowOff>
              </to>
            </anchor>
          </controlPr>
        </control>
      </mc:Choice>
      <mc:Fallback>
        <control shapeId="1026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Mar50_WY2018</vt:lpstr>
      <vt:lpstr>Mar50_WY2018!Print_Area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Benjamin Saenz</cp:lastModifiedBy>
  <dcterms:created xsi:type="dcterms:W3CDTF">2023-04-07T02:01:23Z</dcterms:created>
  <dcterms:modified xsi:type="dcterms:W3CDTF">2024-09-12T00:44:44Z</dcterms:modified>
</cp:coreProperties>
</file>