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mpacheco_usbr_gov/Documents/Documents/Temperature (DOCUMENTS)/WTMP (DOCUMENTS)/Forecast/Ops Spreadsheets/WY2025/"/>
    </mc:Choice>
  </mc:AlternateContent>
  <xr:revisionPtr revIDLastSave="0" documentId="8_{B708303B-BFE2-4AF6-9686-9A4883215407}" xr6:coauthVersionLast="47" xr6:coauthVersionMax="47" xr10:uidLastSave="{00000000-0000-0000-0000-000000000000}"/>
  <bookViews>
    <workbookView xWindow="0" yWindow="0" windowWidth="11520" windowHeight="12360" xr2:uid="{CD7DA157-E6A9-4143-8146-306AEEC9B8E7}"/>
  </bookViews>
  <sheets>
    <sheet name="Seasonal Results WTMP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<sst xmlns="http://schemas.openxmlformats.org/spreadsheetml/2006/main" count="113" uniqueCount="76">
  <si>
    <t xml:space="preserve"> Trinity/Clair Engle</t>
  </si>
  <si>
    <t>Inflow</t>
  </si>
  <si>
    <t>Est. Evap.</t>
  </si>
  <si>
    <t>Total Release</t>
  </si>
  <si>
    <t>River Rel. - cfs</t>
  </si>
  <si>
    <t>River Rel. - TAF</t>
  </si>
  <si>
    <t>Carr PP</t>
  </si>
  <si>
    <t>Actual Storage</t>
  </si>
  <si>
    <t>Elevation (feet)</t>
  </si>
  <si>
    <t>Area (acres)</t>
  </si>
  <si>
    <t>Whiskeytown</t>
  </si>
  <si>
    <t>Spring Cr.</t>
  </si>
  <si>
    <t>Storage</t>
  </si>
  <si>
    <t>Clear Creek-cfs</t>
  </si>
  <si>
    <t>Clear Creek-taf</t>
  </si>
  <si>
    <t>CC AFRP</t>
  </si>
  <si>
    <t>Shasta</t>
  </si>
  <si>
    <t>Total Shasta Release</t>
  </si>
  <si>
    <t>Keswick-cfs</t>
  </si>
  <si>
    <t>Keswick-taf</t>
  </si>
  <si>
    <t>Keswick Target (cfs)</t>
  </si>
  <si>
    <t>Wilkin's Target (cfs)</t>
  </si>
  <si>
    <t>Keswick to Wilkins Acc/dep (cfs)</t>
  </si>
  <si>
    <t>Flow@Wilkin's Slough (cfs)</t>
  </si>
  <si>
    <t>Sac AFRP</t>
  </si>
  <si>
    <t>Oroville</t>
  </si>
  <si>
    <t>Total Releases - TAF</t>
  </si>
  <si>
    <t xml:space="preserve">Storage </t>
  </si>
  <si>
    <t>Feather Minimum (cfs)</t>
  </si>
  <si>
    <t>Feather - Target (TAF)</t>
  </si>
  <si>
    <t>-cfs</t>
  </si>
  <si>
    <t>Actual Feather Release (TAF)</t>
  </si>
  <si>
    <t>-TAF</t>
  </si>
  <si>
    <t>Thermolito - Demand TAF</t>
  </si>
  <si>
    <t>-Deliveries</t>
  </si>
  <si>
    <t>Folsom</t>
  </si>
  <si>
    <t>Pumping (FP)</t>
  </si>
  <si>
    <t>FS Canal (FSC)</t>
  </si>
  <si>
    <t>Nimbus Minimum (cfs)</t>
  </si>
  <si>
    <t>Nimbus Minimum (TAF)</t>
  </si>
  <si>
    <t>Actual Nimbus Release (TAF)</t>
  </si>
  <si>
    <t>Amer AFRP</t>
  </si>
  <si>
    <t>New Melones</t>
  </si>
  <si>
    <t>Tull. Stor.</t>
  </si>
  <si>
    <t>Goodwin - cfs</t>
  </si>
  <si>
    <t>Goodwin - TAF</t>
  </si>
  <si>
    <t>OID/SSJID</t>
  </si>
  <si>
    <t>CVP Contractors</t>
  </si>
  <si>
    <t>S. J. above Stan - TAF</t>
  </si>
  <si>
    <t>S. J. @ VNS. - cfs</t>
  </si>
  <si>
    <t xml:space="preserve"> SAN LUIS/O'NEILL</t>
  </si>
  <si>
    <t>F SL P/G.</t>
  </si>
  <si>
    <t>Federal Storage</t>
  </si>
  <si>
    <t>State SL P/G.</t>
  </si>
  <si>
    <t>State Storage</t>
  </si>
  <si>
    <t>Total Storage</t>
  </si>
  <si>
    <t>Elevation (ft)</t>
  </si>
  <si>
    <t>DELTA</t>
  </si>
  <si>
    <t>Federal Banks</t>
  </si>
  <si>
    <t>Contra Costa</t>
  </si>
  <si>
    <t>Tracy</t>
  </si>
  <si>
    <t>Total Federal Exports</t>
  </si>
  <si>
    <t>State Banks Pumping</t>
  </si>
  <si>
    <t xml:space="preserve">Total Exports </t>
  </si>
  <si>
    <t>USBR Monthly COA Account</t>
  </si>
  <si>
    <t>Accumulated COA</t>
  </si>
  <si>
    <t>Computed Delta Outflow (NDOI)</t>
  </si>
  <si>
    <t>Excess Outflow (EO)</t>
  </si>
  <si>
    <t>Freeport Flow (FF) cfs</t>
  </si>
  <si>
    <t>X-channel Gates</t>
  </si>
  <si>
    <t>% Inflow Diverted</t>
  </si>
  <si>
    <t>% Inflow Diverted Std</t>
  </si>
  <si>
    <t>X2 Location (km from GG)</t>
  </si>
  <si>
    <t>X2 location Std.</t>
  </si>
  <si>
    <t>closed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</si>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</sst>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"/>
    <numFmt numFmtId="165" formatCode="0.0"/>
    <numFmt numFmtId="166" formatCode="#,##0.000"/>
  </numFmts>
  <fonts count="8" x14ac:knownFonts="1">
    <font>
      <sz val="10"/>
      <name val="Arial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b/>
      <sz val="10"/>
      <name val="Arial"/>
      <family val="2"/>
    </font>
    <font>
      <sz val="11"/>
      <color indexed="8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9" fontId="7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4" fillId="0" borderId="0" xfId="0" applyFont="1"/>
    <xf numFmtId="14" fontId="1" fillId="2" borderId="0" xfId="0" applyNumberFormat="1" applyFont="1" applyFill="1"/>
    <xf numFmtId="1" fontId="1" fillId="0" borderId="0" xfId="0" applyNumberFormat="1" applyFont="1"/>
    <xf numFmtId="165" fontId="1" fillId="0" borderId="0" xfId="0" applyNumberFormat="1" applyFont="1"/>
    <xf numFmtId="0" fontId="1" fillId="2" borderId="0" xfId="0" applyFont="1" applyFill="1"/>
    <xf numFmtId="3" fontId="1" fillId="0" borderId="0" xfId="0" applyNumberFormat="1" applyFont="1"/>
    <xf numFmtId="0" fontId="3" fillId="0" borderId="0" xfId="0" applyFont="1"/>
    <xf numFmtId="0" fontId="5" fillId="0" borderId="0" xfId="0" applyFont="1" applyBorder="1"/>
    <xf numFmtId="0" fontId="1" fillId="0" borderId="0" xfId="0" applyFont="1" applyBorder="1"/>
    <xf numFmtId="1" fontId="1" fillId="2" borderId="0" xfId="0" applyNumberFormat="1" applyFont="1" applyFill="1"/>
    <xf numFmtId="0" fontId="2" fillId="0" borderId="0" xfId="0" applyFont="1" applyAlignment="1">
      <alignment horizontal="left" wrapText="1"/>
    </xf>
    <xf numFmtId="166" fontId="1" fillId="0" borderId="0" xfId="0" applyNumberFormat="1" applyFont="1"/>
    <xf numFmtId="0" fontId="6" fillId="0" borderId="0" xfId="0" applyFont="1"/>
    <xf numFmtId="0" fontId="1" fillId="3" borderId="0" xfId="0" applyFont="1" applyFill="1"/>
    <xf numFmtId="3" fontId="1" fillId="3" borderId="0" xfId="0" applyNumberFormat="1" applyFont="1" applyFill="1"/>
    <xf numFmtId="0" fontId="1" fillId="0" borderId="0" xfId="0" applyFont="1" applyAlignment="1">
      <alignment horizontal="center"/>
    </xf>
    <xf numFmtId="9" fontId="1" fillId="0" borderId="0" xfId="0" applyNumberFormat="1" applyFont="1"/>
    <xf numFmtId="9" fontId="1" fillId="0" borderId="0" xfId="1" applyFont="1"/>
    <xf numFmtId="0" fontId="3" fillId="0" borderId="0" xfId="0" applyFont="1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Trinity Reservoir</a:t>
            </a:r>
          </a:p>
        </c:rich>
      </c:tx>
      <c:layout>
        <c:manualLayout>
          <c:xMode val="edge"/>
          <c:yMode val="edge"/>
          <c:x val="0.44086077949933694"/>
          <c:y val="3.14764891676675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0931952960448323E-2"/>
          <c:y val="0.14285714285714296"/>
          <c:w val="0.84856705078741956"/>
          <c:h val="0.6731234866828093"/>
        </c:manualLayout>
      </c:layout>
      <c:barChart>
        <c:barDir val="col"/>
        <c:grouping val="clustered"/>
        <c:varyColors val="0"/>
        <c:ser>
          <c:idx val="1"/>
          <c:order val="0"/>
          <c:tx>
            <c:v>Inflows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 WTMP'!$C$3:$N$3</c:f>
              <c:numCache>
                <c:formatCode>mmm</c:formatCode>
                <c:ptCount val="1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</c:numCache>
            </c:numRef>
          </c:cat>
          <c:val>
            <c:numRef>
              <c:f>'Seasonal Results WTMP'!$C$5:$N$5</c:f>
              <c:numCache>
                <c:formatCode>General</c:formatCode>
                <c:ptCount val="12"/>
                <c:pt idx="0" formatCode="0">
                  <c:v>73.666666666666671</c:v>
                </c:pt>
                <c:pt idx="1">
                  <c:v>212</c:v>
                </c:pt>
                <c:pt idx="2">
                  <c:v>260</c:v>
                </c:pt>
                <c:pt idx="3">
                  <c:v>120</c:v>
                </c:pt>
                <c:pt idx="4">
                  <c:v>20</c:v>
                </c:pt>
                <c:pt idx="5">
                  <c:v>10</c:v>
                </c:pt>
                <c:pt idx="6">
                  <c:v>20</c:v>
                </c:pt>
                <c:pt idx="7">
                  <c:v>12</c:v>
                </c:pt>
                <c:pt idx="8">
                  <c:v>22</c:v>
                </c:pt>
                <c:pt idx="9">
                  <c:v>41</c:v>
                </c:pt>
                <c:pt idx="10">
                  <c:v>33</c:v>
                </c:pt>
                <c:pt idx="11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2-4B28-9155-14E9B65EE2BC}"/>
            </c:ext>
          </c:extLst>
        </c:ser>
        <c:ser>
          <c:idx val="0"/>
          <c:order val="1"/>
          <c:tx>
            <c:v>Releases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 WTMP'!$C$3:$N$3</c:f>
              <c:numCache>
                <c:formatCode>mmm</c:formatCode>
                <c:ptCount val="1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</c:numCache>
            </c:numRef>
          </c:cat>
          <c:val>
            <c:numRef>
              <c:f>'Seasonal Results WTMP'!$C$7:$N$7</c:f>
              <c:numCache>
                <c:formatCode>0.0</c:formatCode>
                <c:ptCount val="12"/>
                <c:pt idx="0">
                  <c:v>66.695719248166668</c:v>
                </c:pt>
                <c:pt idx="1">
                  <c:v>119.87926171000004</c:v>
                </c:pt>
                <c:pt idx="2">
                  <c:v>307.13782264500003</c:v>
                </c:pt>
                <c:pt idx="3">
                  <c:v>230.95856810499998</c:v>
                </c:pt>
                <c:pt idx="4">
                  <c:v>145.17205361999999</c:v>
                </c:pt>
                <c:pt idx="5">
                  <c:v>130.12135975499996</c:v>
                </c:pt>
                <c:pt idx="6">
                  <c:v>129.82080498357067</c:v>
                </c:pt>
                <c:pt idx="7">
                  <c:v>63.366738704999982</c:v>
                </c:pt>
                <c:pt idx="8">
                  <c:v>24.777579123000002</c:v>
                </c:pt>
                <c:pt idx="9">
                  <c:v>81.676619627999997</c:v>
                </c:pt>
                <c:pt idx="10">
                  <c:v>28.928897485000029</c:v>
                </c:pt>
                <c:pt idx="11">
                  <c:v>21.713372805999999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2-4B28-9155-14E9B65EE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7541776"/>
        <c:axId val="-137534160"/>
      </c:barChart>
      <c:lineChart>
        <c:grouping val="standard"/>
        <c:varyColors val="0"/>
        <c:ser>
          <c:idx val="2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'Seasonal Results WTMP'!$C$3:$N$3</c:f>
              <c:numCache>
                <c:formatCode>mmm</c:formatCode>
                <c:ptCount val="1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</c:numCache>
            </c:numRef>
          </c:cat>
          <c:val>
            <c:numRef>
              <c:f>'Seasonal Results WTMP'!$C$11:$N$11</c:f>
              <c:numCache>
                <c:formatCode>0</c:formatCode>
                <c:ptCount val="12"/>
                <c:pt idx="0">
                  <c:v>2040.3328351297607</c:v>
                </c:pt>
                <c:pt idx="1">
                  <c:v>2127.0020876997605</c:v>
                </c:pt>
                <c:pt idx="2">
                  <c:v>2072.4856405547603</c:v>
                </c:pt>
                <c:pt idx="3">
                  <c:v>1953.2385729297603</c:v>
                </c:pt>
                <c:pt idx="4">
                  <c:v>1817.6006590297602</c:v>
                </c:pt>
                <c:pt idx="5">
                  <c:v>1688.2322963447602</c:v>
                </c:pt>
                <c:pt idx="6">
                  <c:v>1571.0749688111896</c:v>
                </c:pt>
                <c:pt idx="7">
                  <c:v>1516.1752350811896</c:v>
                </c:pt>
                <c:pt idx="8">
                  <c:v>1511.7103274831898</c:v>
                </c:pt>
                <c:pt idx="9">
                  <c:v>1469.9835701751897</c:v>
                </c:pt>
                <c:pt idx="10">
                  <c:v>1472.2028966651897</c:v>
                </c:pt>
                <c:pt idx="11">
                  <c:v>1503.9856572691897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12-4B28-9155-14E9B65EE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534704"/>
        <c:axId val="-137531984"/>
      </c:lineChart>
      <c:catAx>
        <c:axId val="-137541776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341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1375341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336917562724002E-2"/>
              <c:y val="0.3438256658595645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41776"/>
        <c:crosses val="autoZero"/>
        <c:crossBetween val="between"/>
      </c:valAx>
      <c:catAx>
        <c:axId val="-137534704"/>
        <c:scaling>
          <c:orientation val="minMax"/>
        </c:scaling>
        <c:delete val="1"/>
        <c:axPos val="b"/>
        <c:numFmt formatCode="mmm" sourceLinked="1"/>
        <c:majorTickMark val="out"/>
        <c:minorTickMark val="none"/>
        <c:tickLblPos val="none"/>
        <c:crossAx val="-137531984"/>
        <c:crosses val="autoZero"/>
        <c:auto val="0"/>
        <c:lblAlgn val="ctr"/>
        <c:lblOffset val="100"/>
        <c:noMultiLvlLbl val="0"/>
      </c:catAx>
      <c:valAx>
        <c:axId val="-13753198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595066745689095"/>
              <c:y val="0.3970949394037611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3470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6706220127159328"/>
          <c:y val="0.9083337953357925"/>
          <c:w val="0.2023726965185588"/>
          <c:h val="6.458336618213206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Whiskeytown Reservior</a:t>
            </a:r>
          </a:p>
        </c:rich>
      </c:tx>
      <c:layout>
        <c:manualLayout>
          <c:xMode val="edge"/>
          <c:yMode val="edge"/>
          <c:x val="0.41467917061331516"/>
          <c:y val="3.1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19748729974402E-2"/>
          <c:y val="0.13221153846153846"/>
          <c:w val="0.86776937321490255"/>
          <c:h val="0.6875"/>
        </c:manualLayout>
      </c:layout>
      <c:barChart>
        <c:barDir val="col"/>
        <c:grouping val="clustered"/>
        <c:varyColors val="0"/>
        <c:ser>
          <c:idx val="1"/>
          <c:order val="0"/>
          <c:tx>
            <c:v>Inflows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 WTMP'!$C$36:$N$36</c:f>
              <c:numCache>
                <c:formatCode>mmm</c:formatCode>
                <c:ptCount val="1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</c:numCache>
            </c:numRef>
          </c:cat>
          <c:val>
            <c:numRef>
              <c:f>'Seasonal Results WTMP'!$C$38:$N$38</c:f>
              <c:numCache>
                <c:formatCode>General</c:formatCode>
                <c:ptCount val="12"/>
                <c:pt idx="0" formatCode="0">
                  <c:v>21.666666666666668</c:v>
                </c:pt>
                <c:pt idx="1">
                  <c:v>16</c:v>
                </c:pt>
                <c:pt idx="2">
                  <c:v>8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6</c:v>
                </c:pt>
                <c:pt idx="9">
                  <c:v>13</c:v>
                </c:pt>
                <c:pt idx="10">
                  <c:v>8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75-45AD-9166-127AC83AC73E}"/>
            </c:ext>
          </c:extLst>
        </c:ser>
        <c:ser>
          <c:idx val="0"/>
          <c:order val="1"/>
          <c:tx>
            <c:v>Releases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'Seasonal Results WTMP'!$C$36:$N$36</c:f>
              <c:numCache>
                <c:formatCode>mmm</c:formatCode>
                <c:ptCount val="1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</c:numCache>
            </c:numRef>
          </c:cat>
          <c:val>
            <c:numRef>
              <c:f>'Seasonal Results WTMP'!$C$40:$N$40</c:f>
              <c:numCache>
                <c:formatCode>0.0</c:formatCode>
                <c:ptCount val="12"/>
                <c:pt idx="0">
                  <c:v>20.6262875</c:v>
                </c:pt>
                <c:pt idx="1">
                  <c:v>15.674199999999999</c:v>
                </c:pt>
                <c:pt idx="2">
                  <c:v>18.134535</c:v>
                </c:pt>
                <c:pt idx="3">
                  <c:v>82.790350000000004</c:v>
                </c:pt>
                <c:pt idx="4">
                  <c:v>76.9405</c:v>
                </c:pt>
                <c:pt idx="5">
                  <c:v>76.147300000000001</c:v>
                </c:pt>
                <c:pt idx="6">
                  <c:v>77.138800000000003</c:v>
                </c:pt>
                <c:pt idx="7">
                  <c:v>74.667124999999999</c:v>
                </c:pt>
                <c:pt idx="8">
                  <c:v>12.492900000000001</c:v>
                </c:pt>
                <c:pt idx="9">
                  <c:v>15.963150000000001</c:v>
                </c:pt>
                <c:pt idx="10">
                  <c:v>17.995725</c:v>
                </c:pt>
                <c:pt idx="11">
                  <c:v>16.6572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75-45AD-9166-127AC83AC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7539056"/>
        <c:axId val="-137537424"/>
      </c:barChart>
      <c:lineChart>
        <c:grouping val="standard"/>
        <c:varyColors val="0"/>
        <c:ser>
          <c:idx val="2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'Seasonal Results WTMP'!$C$36:$N$36</c:f>
              <c:numCache>
                <c:formatCode>mmm</c:formatCode>
                <c:ptCount val="1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</c:numCache>
            </c:numRef>
          </c:cat>
          <c:val>
            <c:numRef>
              <c:f>'Seasonal Results WTMP'!$C$42:$N$42</c:f>
              <c:numCache>
                <c:formatCode>0</c:formatCode>
                <c:ptCount val="12"/>
                <c:pt idx="0">
                  <c:v>231.99999999999997</c:v>
                </c:pt>
                <c:pt idx="1">
                  <c:v>231.99999999999997</c:v>
                </c:pt>
                <c:pt idx="2">
                  <c:v>237.9</c:v>
                </c:pt>
                <c:pt idx="3">
                  <c:v>237.9</c:v>
                </c:pt>
                <c:pt idx="4">
                  <c:v>237.90000000000003</c:v>
                </c:pt>
                <c:pt idx="5">
                  <c:v>237.90000000000003</c:v>
                </c:pt>
                <c:pt idx="6">
                  <c:v>237.9</c:v>
                </c:pt>
                <c:pt idx="7">
                  <c:v>205.7</c:v>
                </c:pt>
                <c:pt idx="8">
                  <c:v>205.7</c:v>
                </c:pt>
                <c:pt idx="9">
                  <c:v>205.69999999999996</c:v>
                </c:pt>
                <c:pt idx="10">
                  <c:v>205.7</c:v>
                </c:pt>
                <c:pt idx="11">
                  <c:v>205.70000000000002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75-45AD-9166-127AC83AC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536880"/>
        <c:axId val="-137535248"/>
      </c:lineChart>
      <c:catAx>
        <c:axId val="-137539056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3742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137537424"/>
        <c:scaling>
          <c:orientation val="minMax"/>
          <c:max val="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678977799951315E-2"/>
              <c:y val="0.3461538461538463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39056"/>
        <c:crosses val="autoZero"/>
        <c:crossBetween val="between"/>
        <c:majorUnit val="50"/>
        <c:minorUnit val="5"/>
      </c:valAx>
      <c:catAx>
        <c:axId val="-137536880"/>
        <c:scaling>
          <c:orientation val="minMax"/>
        </c:scaling>
        <c:delete val="1"/>
        <c:axPos val="b"/>
        <c:numFmt formatCode="mmm" sourceLinked="1"/>
        <c:majorTickMark val="out"/>
        <c:minorTickMark val="none"/>
        <c:tickLblPos val="none"/>
        <c:crossAx val="-137535248"/>
        <c:crosses val="autoZero"/>
        <c:auto val="0"/>
        <c:lblAlgn val="ctr"/>
        <c:lblOffset val="100"/>
        <c:noMultiLvlLbl val="0"/>
      </c:catAx>
      <c:valAx>
        <c:axId val="-137535248"/>
        <c:scaling>
          <c:orientation val="minMax"/>
          <c:max val="260"/>
          <c:min val="20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51379941143724"/>
              <c:y val="0.3990389662830611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36880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8197451575249547"/>
          <c:y val="0.90376869080176681"/>
          <c:w val="0.20743934376071838"/>
          <c:h val="6.9037886102912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Shasta Reservoir</a:t>
            </a:r>
          </a:p>
        </c:rich>
      </c:tx>
      <c:layout>
        <c:manualLayout>
          <c:xMode val="edge"/>
          <c:yMode val="edge"/>
          <c:x val="0.43851716725454609"/>
          <c:y val="2.9297080052493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1538488731303374E-2"/>
          <c:y val="0.11328125000000004"/>
          <c:w val="0.860633864462787"/>
          <c:h val="0.73828125000000033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'[1]Seasonal Results'!$C$70:$N$70</c:f>
              <c:numCache>
                <c:formatCode>General</c:formatCode>
                <c:ptCount val="1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</c:numCache>
            </c:numRef>
          </c:cat>
          <c:val>
            <c:numRef>
              <c:f>'Seasonal Results WTMP'!$C$72:$N$72</c:f>
              <c:numCache>
                <c:formatCode>General</c:formatCode>
                <c:ptCount val="12"/>
                <c:pt idx="0" formatCode="0">
                  <c:v>411.66666666666669</c:v>
                </c:pt>
                <c:pt idx="1">
                  <c:v>510</c:v>
                </c:pt>
                <c:pt idx="2" formatCode="0">
                  <c:v>385</c:v>
                </c:pt>
                <c:pt idx="3" formatCode="0">
                  <c:v>245</c:v>
                </c:pt>
                <c:pt idx="4" formatCode="0">
                  <c:v>190</c:v>
                </c:pt>
                <c:pt idx="5" formatCode="0">
                  <c:v>146</c:v>
                </c:pt>
                <c:pt idx="6">
                  <c:v>144</c:v>
                </c:pt>
                <c:pt idx="7">
                  <c:v>220</c:v>
                </c:pt>
                <c:pt idx="8">
                  <c:v>250</c:v>
                </c:pt>
                <c:pt idx="9">
                  <c:v>320</c:v>
                </c:pt>
                <c:pt idx="10">
                  <c:v>320</c:v>
                </c:pt>
                <c:pt idx="11">
                  <c:v>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1F-404F-BBE7-A7C3CA4D27B3}"/>
            </c:ext>
          </c:extLst>
        </c:ser>
        <c:ser>
          <c:idx val="0"/>
          <c:order val="1"/>
          <c:tx>
            <c:v>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'[1]Seasonal Results'!$C$70:$N$70</c:f>
              <c:numCache>
                <c:formatCode>General</c:formatCode>
                <c:ptCount val="1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</c:numCache>
            </c:numRef>
          </c:cat>
          <c:val>
            <c:numRef>
              <c:f>'Seasonal Results WTMP'!$C$74:$N$74</c:f>
              <c:numCache>
                <c:formatCode>0</c:formatCode>
                <c:ptCount val="12"/>
                <c:pt idx="0">
                  <c:v>200.10640000000001</c:v>
                </c:pt>
                <c:pt idx="1">
                  <c:v>474.92</c:v>
                </c:pt>
                <c:pt idx="2">
                  <c:v>473.34210000000002</c:v>
                </c:pt>
                <c:pt idx="3">
                  <c:v>661.72699999999998</c:v>
                </c:pt>
                <c:pt idx="4">
                  <c:v>790.62199999999996</c:v>
                </c:pt>
                <c:pt idx="5">
                  <c:v>636.93949999999995</c:v>
                </c:pt>
                <c:pt idx="6">
                  <c:v>346.43</c:v>
                </c:pt>
                <c:pt idx="7">
                  <c:v>334.5745</c:v>
                </c:pt>
                <c:pt idx="8">
                  <c:v>237.96</c:v>
                </c:pt>
                <c:pt idx="9">
                  <c:v>199.78725</c:v>
                </c:pt>
                <c:pt idx="10">
                  <c:v>199.78725</c:v>
                </c:pt>
                <c:pt idx="11">
                  <c:v>180.453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1F-404F-BBE7-A7C3CA4D2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7532528"/>
        <c:axId val="-137530352"/>
      </c:barChart>
      <c:lineChart>
        <c:grouping val="standard"/>
        <c:varyColors val="0"/>
        <c:ser>
          <c:idx val="4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cat>
            <c:numRef>
              <c:f>'[1]Seasonal Results'!$C$70:$N$70</c:f>
              <c:numCache>
                <c:formatCode>General</c:formatCode>
                <c:ptCount val="1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</c:numCache>
            </c:numRef>
          </c:cat>
          <c:val>
            <c:numRef>
              <c:f>'Seasonal Results WTMP'!$C$78:$N$78</c:f>
              <c:numCache>
                <c:formatCode>0</c:formatCode>
                <c:ptCount val="12"/>
                <c:pt idx="0">
                  <c:v>4044.1780590860003</c:v>
                </c:pt>
                <c:pt idx="1">
                  <c:v>4068.6302431139998</c:v>
                </c:pt>
                <c:pt idx="2">
                  <c:v>3966.2652836139996</c:v>
                </c:pt>
                <c:pt idx="3">
                  <c:v>3533.7598876659999</c:v>
                </c:pt>
                <c:pt idx="4">
                  <c:v>2913.888709026</c:v>
                </c:pt>
                <c:pt idx="5">
                  <c:v>2407.1906562180002</c:v>
                </c:pt>
                <c:pt idx="6">
                  <c:v>2193.1369980180002</c:v>
                </c:pt>
                <c:pt idx="7">
                  <c:v>2073.0590043860002</c:v>
                </c:pt>
                <c:pt idx="8">
                  <c:v>2082.515901276</c:v>
                </c:pt>
                <c:pt idx="9">
                  <c:v>2201.1027150360001</c:v>
                </c:pt>
                <c:pt idx="10">
                  <c:v>2318.281684946</c:v>
                </c:pt>
                <c:pt idx="11">
                  <c:v>2515.2815124459999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1F-404F-BBE7-A7C3CA4D27B3}"/>
            </c:ext>
          </c:extLst>
        </c:ser>
        <c:ser>
          <c:idx val="2"/>
          <c:order val="3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Storages'!$B$23:$M$23</c:f>
              <c:numCache>
                <c:formatCode>General</c:formatCode>
                <c:ptCount val="12"/>
                <c:pt idx="0">
                  <c:v>4552</c:v>
                </c:pt>
                <c:pt idx="1">
                  <c:v>4552</c:v>
                </c:pt>
                <c:pt idx="2">
                  <c:v>4552</c:v>
                </c:pt>
                <c:pt idx="3">
                  <c:v>4552</c:v>
                </c:pt>
                <c:pt idx="4">
                  <c:v>4552</c:v>
                </c:pt>
                <c:pt idx="5">
                  <c:v>4552</c:v>
                </c:pt>
                <c:pt idx="6">
                  <c:v>4552</c:v>
                </c:pt>
                <c:pt idx="7">
                  <c:v>3882</c:v>
                </c:pt>
                <c:pt idx="8">
                  <c:v>3252</c:v>
                </c:pt>
                <c:pt idx="9">
                  <c:v>3252</c:v>
                </c:pt>
                <c:pt idx="10">
                  <c:v>3872</c:v>
                </c:pt>
                <c:pt idx="11">
                  <c:v>4252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1F-404F-BBE7-A7C3CA4D27B3}"/>
            </c:ext>
          </c:extLst>
        </c:ser>
        <c:ser>
          <c:idx val="3"/>
          <c:order val="4"/>
          <c:tx>
            <c:v>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'[1]Target Storages'!$B$22:$M$22</c:f>
              <c:numCache>
                <c:formatCode>General</c:formatCode>
                <c:ptCount val="12"/>
                <c:pt idx="0">
                  <c:v>3412</c:v>
                </c:pt>
                <c:pt idx="1">
                  <c:v>3852</c:v>
                </c:pt>
                <c:pt idx="2">
                  <c:v>4322</c:v>
                </c:pt>
                <c:pt idx="3">
                  <c:v>4552</c:v>
                </c:pt>
                <c:pt idx="4">
                  <c:v>4552</c:v>
                </c:pt>
                <c:pt idx="5">
                  <c:v>4552</c:v>
                </c:pt>
                <c:pt idx="6">
                  <c:v>4552</c:v>
                </c:pt>
                <c:pt idx="7">
                  <c:v>3882</c:v>
                </c:pt>
                <c:pt idx="8">
                  <c:v>3252</c:v>
                </c:pt>
                <c:pt idx="9">
                  <c:v>3252</c:v>
                </c:pt>
                <c:pt idx="10">
                  <c:v>3252</c:v>
                </c:pt>
                <c:pt idx="11">
                  <c:v>3252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1F-404F-BBE7-A7C3CA4D2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529808"/>
        <c:axId val="-137529264"/>
      </c:lineChart>
      <c:catAx>
        <c:axId val="-137532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3035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1375303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466526525813241E-2"/>
              <c:y val="0.378906250000000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32528"/>
        <c:crosses val="autoZero"/>
        <c:crossBetween val="between"/>
        <c:majorUnit val="200"/>
      </c:valAx>
      <c:catAx>
        <c:axId val="-1375298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-137529264"/>
        <c:crosses val="autoZero"/>
        <c:auto val="0"/>
        <c:lblAlgn val="ctr"/>
        <c:lblOffset val="100"/>
        <c:noMultiLvlLbl val="0"/>
      </c:catAx>
      <c:valAx>
        <c:axId val="-137529264"/>
        <c:scaling>
          <c:orientation val="minMax"/>
          <c:max val="50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564192824313311"/>
              <c:y val="0.421875000000000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29808"/>
        <c:crosses val="max"/>
        <c:crossBetween val="between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1712487213365875"/>
          <c:y val="0.92190343865943791"/>
          <c:w val="0.34883735934702431"/>
          <c:h val="5.602728080250728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Oroville Reservoir</a:t>
            </a:r>
          </a:p>
        </c:rich>
      </c:tx>
      <c:layout>
        <c:manualLayout>
          <c:xMode val="edge"/>
          <c:yMode val="edge"/>
          <c:x val="0.42588753048204753"/>
          <c:y val="3.0172413793103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6120959332638169E-2"/>
          <c:y val="0.10129310344827598"/>
          <c:w val="0.84462982273201292"/>
          <c:h val="0.74066091954022983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'[1]Seasonal Results'!$C$111:$N$111</c:f>
              <c:numCache>
                <c:formatCode>General</c:formatCode>
                <c:ptCount val="1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</c:numCache>
            </c:numRef>
          </c:cat>
          <c:val>
            <c:numRef>
              <c:f>'Seasonal Results WTMP'!$C$113:$N$113</c:f>
              <c:numCache>
                <c:formatCode>0</c:formatCode>
                <c:ptCount val="12"/>
                <c:pt idx="0">
                  <c:v>539</c:v>
                </c:pt>
                <c:pt idx="1">
                  <c:v>353</c:v>
                </c:pt>
                <c:pt idx="2">
                  <c:v>301</c:v>
                </c:pt>
                <c:pt idx="3">
                  <c:v>201</c:v>
                </c:pt>
                <c:pt idx="4">
                  <c:v>110</c:v>
                </c:pt>
                <c:pt idx="5">
                  <c:v>84</c:v>
                </c:pt>
                <c:pt idx="6">
                  <c:v>100</c:v>
                </c:pt>
                <c:pt idx="7">
                  <c:v>120</c:v>
                </c:pt>
                <c:pt idx="8">
                  <c:v>120</c:v>
                </c:pt>
                <c:pt idx="9">
                  <c:v>160</c:v>
                </c:pt>
                <c:pt idx="10">
                  <c:v>170</c:v>
                </c:pt>
                <c:pt idx="11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CA-46E5-8AC3-6882B4699CB9}"/>
            </c:ext>
          </c:extLst>
        </c:ser>
        <c:ser>
          <c:idx val="0"/>
          <c:order val="1"/>
          <c:tx>
            <c:v>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'[1]Seasonal Results'!$C$111:$N$111</c:f>
              <c:numCache>
                <c:formatCode>General</c:formatCode>
                <c:ptCount val="1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</c:numCache>
            </c:numRef>
          </c:cat>
          <c:val>
            <c:numRef>
              <c:f>'Seasonal Results WTMP'!$C$115:$N$115</c:f>
              <c:numCache>
                <c:formatCode>0</c:formatCode>
                <c:ptCount val="12"/>
                <c:pt idx="0">
                  <c:v>418.01639999999998</c:v>
                </c:pt>
                <c:pt idx="1">
                  <c:v>444.8125</c:v>
                </c:pt>
                <c:pt idx="2">
                  <c:v>321.3879</c:v>
                </c:pt>
                <c:pt idx="3">
                  <c:v>323.77600000000001</c:v>
                </c:pt>
                <c:pt idx="4">
                  <c:v>447.1866</c:v>
                </c:pt>
                <c:pt idx="5">
                  <c:v>404.1866</c:v>
                </c:pt>
                <c:pt idx="6">
                  <c:v>301.858</c:v>
                </c:pt>
                <c:pt idx="7">
                  <c:v>261.12440000000004</c:v>
                </c:pt>
                <c:pt idx="8">
                  <c:v>235.10750000000002</c:v>
                </c:pt>
                <c:pt idx="9">
                  <c:v>203.57774999999998</c:v>
                </c:pt>
                <c:pt idx="10">
                  <c:v>150.57774999999998</c:v>
                </c:pt>
                <c:pt idx="11">
                  <c:v>97.167000000000002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CA-46E5-8AC3-6882B4699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7528176"/>
        <c:axId val="-137543408"/>
      </c:barChart>
      <c:lineChart>
        <c:grouping val="standard"/>
        <c:varyColors val="0"/>
        <c:ser>
          <c:idx val="2"/>
          <c:order val="4"/>
          <c:tx>
            <c:v> 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'[1]Seasonal Results'!$C$111:$N$111</c:f>
              <c:numCache>
                <c:formatCode>General</c:formatCode>
                <c:ptCount val="1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</c:numCache>
            </c:numRef>
          </c:cat>
          <c:val>
            <c:numRef>
              <c:f>'[1]Target Storages'!$B$24:$M$24</c:f>
              <c:numCache>
                <c:formatCode>General</c:formatCode>
                <c:ptCount val="12"/>
                <c:pt idx="0">
                  <c:v>2788</c:v>
                </c:pt>
                <c:pt idx="1">
                  <c:v>3083</c:v>
                </c:pt>
                <c:pt idx="2">
                  <c:v>3388</c:v>
                </c:pt>
                <c:pt idx="3">
                  <c:v>3538</c:v>
                </c:pt>
                <c:pt idx="4">
                  <c:v>3538</c:v>
                </c:pt>
                <c:pt idx="5">
                  <c:v>3538</c:v>
                </c:pt>
                <c:pt idx="6">
                  <c:v>3148</c:v>
                </c:pt>
                <c:pt idx="7">
                  <c:v>2788</c:v>
                </c:pt>
                <c:pt idx="8">
                  <c:v>2788</c:v>
                </c:pt>
                <c:pt idx="9">
                  <c:v>2788</c:v>
                </c:pt>
                <c:pt idx="10">
                  <c:v>2788</c:v>
                </c:pt>
                <c:pt idx="11">
                  <c:v>2788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CA-46E5-8AC3-6882B4699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528176"/>
        <c:axId val="-137543408"/>
      </c:lineChart>
      <c:lineChart>
        <c:grouping val="standard"/>
        <c:varyColors val="0"/>
        <c:ser>
          <c:idx val="3"/>
          <c:order val="2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Storages'!$B$25:$M$25</c:f>
              <c:numCache>
                <c:formatCode>General</c:formatCode>
                <c:ptCount val="12"/>
                <c:pt idx="0">
                  <c:v>3163</c:v>
                </c:pt>
                <c:pt idx="1">
                  <c:v>3458</c:v>
                </c:pt>
                <c:pt idx="2">
                  <c:v>3538</c:v>
                </c:pt>
                <c:pt idx="3">
                  <c:v>3538</c:v>
                </c:pt>
                <c:pt idx="4">
                  <c:v>3538</c:v>
                </c:pt>
                <c:pt idx="5">
                  <c:v>3538</c:v>
                </c:pt>
                <c:pt idx="6">
                  <c:v>3343</c:v>
                </c:pt>
                <c:pt idx="7">
                  <c:v>3163</c:v>
                </c:pt>
                <c:pt idx="8">
                  <c:v>3163</c:v>
                </c:pt>
                <c:pt idx="9">
                  <c:v>3163</c:v>
                </c:pt>
                <c:pt idx="10">
                  <c:v>3163</c:v>
                </c:pt>
                <c:pt idx="11">
                  <c:v>3163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CA-46E5-8AC3-6882B4699CB9}"/>
            </c:ext>
          </c:extLst>
        </c:ser>
        <c:ser>
          <c:idx val="4"/>
          <c:order val="3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'[1]Seasonal Results'!$C$111:$N$111</c:f>
              <c:numCache>
                <c:formatCode>General</c:formatCode>
                <c:ptCount val="1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</c:numCache>
            </c:numRef>
          </c:cat>
          <c:val>
            <c:numRef>
              <c:f>'Seasonal Results WTMP'!$C$116:$N$116</c:f>
              <c:numCache>
                <c:formatCode>0</c:formatCode>
                <c:ptCount val="12"/>
                <c:pt idx="0">
                  <c:v>2984.2738148967187</c:v>
                </c:pt>
                <c:pt idx="1">
                  <c:v>2887.0546101590185</c:v>
                </c:pt>
                <c:pt idx="2">
                  <c:v>2859.728410991796</c:v>
                </c:pt>
                <c:pt idx="3">
                  <c:v>2729.0542920957851</c:v>
                </c:pt>
                <c:pt idx="4">
                  <c:v>2381.8249044162244</c:v>
                </c:pt>
                <c:pt idx="5">
                  <c:v>2053.1347395526018</c:v>
                </c:pt>
                <c:pt idx="6">
                  <c:v>1844.8668025104735</c:v>
                </c:pt>
                <c:pt idx="7">
                  <c:v>1700.7387210064326</c:v>
                </c:pt>
                <c:pt idx="8">
                  <c:v>1584.2463337884283</c:v>
                </c:pt>
                <c:pt idx="9">
                  <c:v>1539.8469312627756</c:v>
                </c:pt>
                <c:pt idx="10">
                  <c:v>1557.8188293327244</c:v>
                </c:pt>
                <c:pt idx="11">
                  <c:v>1659.4645880480116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CA-46E5-8AC3-6882B4699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542864"/>
        <c:axId val="-137539600"/>
      </c:lineChart>
      <c:catAx>
        <c:axId val="-137528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4340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1375434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356990960071598E-2"/>
              <c:y val="0.351293555977916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28176"/>
        <c:crosses val="autoZero"/>
        <c:crossBetween val="between"/>
        <c:majorUnit val="500"/>
      </c:valAx>
      <c:catAx>
        <c:axId val="-137542864"/>
        <c:scaling>
          <c:orientation val="minMax"/>
        </c:scaling>
        <c:delete val="1"/>
        <c:axPos val="b"/>
        <c:majorTickMark val="out"/>
        <c:minorTickMark val="none"/>
        <c:tickLblPos val="none"/>
        <c:crossAx val="-137539600"/>
        <c:crosses val="autoZero"/>
        <c:auto val="0"/>
        <c:lblAlgn val="ctr"/>
        <c:lblOffset val="100"/>
        <c:noMultiLvlLbl val="0"/>
      </c:catAx>
      <c:valAx>
        <c:axId val="-137539600"/>
        <c:scaling>
          <c:orientation val="minMax"/>
          <c:max val="40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764138059384974"/>
              <c:y val="0.398706444022083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42864"/>
        <c:crosses val="max"/>
        <c:crossBetween val="between"/>
        <c:majorUnit val="10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043832893706242"/>
          <c:y val="0.91637704769662409"/>
          <c:w val="0.4139612850603091"/>
          <c:h val="6.179782344269311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Folsom Reservoir</a:t>
            </a:r>
          </a:p>
        </c:rich>
      </c:tx>
      <c:layout>
        <c:manualLayout>
          <c:xMode val="edge"/>
          <c:yMode val="edge"/>
          <c:x val="0.44067814404555361"/>
          <c:y val="3.006012024048096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25426429019808E-2"/>
          <c:y val="0.13226465848166891"/>
          <c:w val="0.87033934319523931"/>
          <c:h val="0.71743557176420358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'[1]Seasonal Results'!$C$147:$N$147</c:f>
              <c:numCache>
                <c:formatCode>General</c:formatCode>
                <c:ptCount val="1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</c:numCache>
            </c:numRef>
          </c:cat>
          <c:val>
            <c:numRef>
              <c:f>'Seasonal Results WTMP'!$C$149:$N$149</c:f>
              <c:numCache>
                <c:formatCode>General</c:formatCode>
                <c:ptCount val="12"/>
                <c:pt idx="0" formatCode="0">
                  <c:v>196</c:v>
                </c:pt>
                <c:pt idx="1">
                  <c:v>197</c:v>
                </c:pt>
                <c:pt idx="2">
                  <c:v>171</c:v>
                </c:pt>
                <c:pt idx="3">
                  <c:v>94</c:v>
                </c:pt>
                <c:pt idx="4">
                  <c:v>77</c:v>
                </c:pt>
                <c:pt idx="5">
                  <c:v>82</c:v>
                </c:pt>
                <c:pt idx="6">
                  <c:v>73</c:v>
                </c:pt>
                <c:pt idx="7">
                  <c:v>50</c:v>
                </c:pt>
                <c:pt idx="8">
                  <c:v>50</c:v>
                </c:pt>
                <c:pt idx="9">
                  <c:v>70</c:v>
                </c:pt>
                <c:pt idx="10">
                  <c:v>70</c:v>
                </c:pt>
                <c:pt idx="11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8-4ECD-8E65-5086AC7F507F}"/>
            </c:ext>
          </c:extLst>
        </c:ser>
        <c:ser>
          <c:idx val="0"/>
          <c:order val="1"/>
          <c:tx>
            <c:v>Total 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'[1]Seasonal Results'!$C$147:$N$147</c:f>
              <c:numCache>
                <c:formatCode>General</c:formatCode>
                <c:ptCount val="1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</c:numCache>
            </c:numRef>
          </c:cat>
          <c:val>
            <c:numRef>
              <c:f>'Seasonal Results WTMP'!$C$151:$N$151</c:f>
              <c:numCache>
                <c:formatCode>0.0</c:formatCode>
                <c:ptCount val="12"/>
                <c:pt idx="0">
                  <c:v>90.593056666666655</c:v>
                </c:pt>
                <c:pt idx="1">
                  <c:v>114.9075</c:v>
                </c:pt>
                <c:pt idx="2">
                  <c:v>118.37774999999999</c:v>
                </c:pt>
                <c:pt idx="3">
                  <c:v>158.08785</c:v>
                </c:pt>
                <c:pt idx="4">
                  <c:v>289.71836100000024</c:v>
                </c:pt>
                <c:pt idx="5">
                  <c:v>210.21359999999999</c:v>
                </c:pt>
                <c:pt idx="6">
                  <c:v>106.03556000000007</c:v>
                </c:pt>
                <c:pt idx="7">
                  <c:v>99.319894999999974</c:v>
                </c:pt>
                <c:pt idx="8">
                  <c:v>95.541629999999927</c:v>
                </c:pt>
                <c:pt idx="9">
                  <c:v>98.409500000000008</c:v>
                </c:pt>
                <c:pt idx="10">
                  <c:v>83.041250000000005</c:v>
                </c:pt>
                <c:pt idx="11">
                  <c:v>75.605000000000004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D8-4ECD-8E65-5086AC7F5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7541232"/>
        <c:axId val="-320229376"/>
      </c:barChart>
      <c:lineChart>
        <c:grouping val="standard"/>
        <c:varyColors val="0"/>
        <c:ser>
          <c:idx val="4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'[1]Seasonal Results'!$C$147:$N$147</c:f>
              <c:numCache>
                <c:formatCode>General</c:formatCode>
                <c:ptCount val="1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</c:numCache>
            </c:numRef>
          </c:cat>
          <c:val>
            <c:numRef>
              <c:f>'Seasonal Results WTMP'!$C$157:$N$157</c:f>
              <c:numCache>
                <c:formatCode>0</c:formatCode>
                <c:ptCount val="12"/>
                <c:pt idx="0">
                  <c:v>773.1095736000002</c:v>
                </c:pt>
                <c:pt idx="1">
                  <c:v>851.22557185200003</c:v>
                </c:pt>
                <c:pt idx="2">
                  <c:v>898.51141971600009</c:v>
                </c:pt>
                <c:pt idx="3">
                  <c:v>828.09077429600006</c:v>
                </c:pt>
                <c:pt idx="4">
                  <c:v>607.21667967999986</c:v>
                </c:pt>
                <c:pt idx="5">
                  <c:v>472.83000846199985</c:v>
                </c:pt>
                <c:pt idx="6">
                  <c:v>435.23021893199973</c:v>
                </c:pt>
                <c:pt idx="7">
                  <c:v>383.70898752199975</c:v>
                </c:pt>
                <c:pt idx="8">
                  <c:v>337.12369985799978</c:v>
                </c:pt>
                <c:pt idx="9">
                  <c:v>308.1389994819998</c:v>
                </c:pt>
                <c:pt idx="10">
                  <c:v>294.13539985199981</c:v>
                </c:pt>
                <c:pt idx="11">
                  <c:v>327.7207828399998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D8-4ECD-8E65-5086AC7F507F}"/>
            </c:ext>
          </c:extLst>
        </c:ser>
        <c:ser>
          <c:idx val="2"/>
          <c:order val="3"/>
          <c:tx>
            <c:v>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'[1]Target Storages'!$B$29:$M$29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D8-4ECD-8E65-5086AC7F507F}"/>
            </c:ext>
          </c:extLst>
        </c:ser>
        <c:ser>
          <c:idx val="3"/>
          <c:order val="4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Storages'!$B$28:$M$28</c:f>
              <c:numCache>
                <c:formatCode>General</c:formatCode>
                <c:ptCount val="12"/>
                <c:pt idx="0">
                  <c:v>755</c:v>
                </c:pt>
                <c:pt idx="1">
                  <c:v>900</c:v>
                </c:pt>
                <c:pt idx="2">
                  <c:v>966</c:v>
                </c:pt>
                <c:pt idx="3">
                  <c:v>966</c:v>
                </c:pt>
                <c:pt idx="4">
                  <c:v>966</c:v>
                </c:pt>
                <c:pt idx="5">
                  <c:v>966</c:v>
                </c:pt>
                <c:pt idx="6">
                  <c:v>966</c:v>
                </c:pt>
                <c:pt idx="7">
                  <c:v>715</c:v>
                </c:pt>
                <c:pt idx="8">
                  <c:v>566</c:v>
                </c:pt>
                <c:pt idx="9">
                  <c:v>566</c:v>
                </c:pt>
                <c:pt idx="10">
                  <c:v>566</c:v>
                </c:pt>
                <c:pt idx="11">
                  <c:v>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D8-4ECD-8E65-5086AC7F5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20238624"/>
        <c:axId val="-320233728"/>
      </c:lineChart>
      <c:catAx>
        <c:axId val="-137541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2022937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320229376"/>
        <c:scaling>
          <c:orientation val="minMax"/>
          <c:max val="1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3559322033898299E-2"/>
              <c:y val="0.3747499197870808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137541232"/>
        <c:crosses val="autoZero"/>
        <c:crossBetween val="between"/>
        <c:majorUnit val="200"/>
      </c:valAx>
      <c:catAx>
        <c:axId val="-320238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-320233728"/>
        <c:crosses val="autoZero"/>
        <c:auto val="0"/>
        <c:lblAlgn val="ctr"/>
        <c:lblOffset val="100"/>
        <c:noMultiLvlLbl val="0"/>
      </c:catAx>
      <c:valAx>
        <c:axId val="-320233728"/>
        <c:scaling>
          <c:orientation val="minMax"/>
          <c:max val="10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779705502913882"/>
              <c:y val="0.4188380961397863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20238624"/>
        <c:crosses val="max"/>
        <c:crossBetween val="between"/>
        <c:majorUnit val="1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3201325482371191"/>
          <c:y val="0.92683123934806699"/>
          <c:w val="0.35181523821280036"/>
          <c:h val="5.400708349584602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New Melones Reservoir</a:t>
            </a:r>
          </a:p>
        </c:rich>
      </c:tx>
      <c:layout>
        <c:manualLayout>
          <c:xMode val="edge"/>
          <c:yMode val="edge"/>
          <c:x val="0.41388927772917306"/>
          <c:y val="2.98804780876494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296360764215097E-2"/>
          <c:y val="0.12151406241641102"/>
          <c:w val="0.85648225593375249"/>
          <c:h val="0.72908437449846564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'[1]Seasonal Results'!$C$187:$N$187</c:f>
              <c:numCache>
                <c:formatCode>General</c:formatCode>
                <c:ptCount val="1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</c:numCache>
            </c:numRef>
          </c:cat>
          <c:val>
            <c:numRef>
              <c:f>'Seasonal Results WTMP'!$C$189:$N$189</c:f>
              <c:numCache>
                <c:formatCode>0</c:formatCode>
                <c:ptCount val="12"/>
                <c:pt idx="0">
                  <c:v>60</c:v>
                </c:pt>
                <c:pt idx="1">
                  <c:v>67</c:v>
                </c:pt>
                <c:pt idx="2">
                  <c:v>56</c:v>
                </c:pt>
                <c:pt idx="3">
                  <c:v>39</c:v>
                </c:pt>
                <c:pt idx="4">
                  <c:v>34</c:v>
                </c:pt>
                <c:pt idx="5">
                  <c:v>33</c:v>
                </c:pt>
                <c:pt idx="6">
                  <c:v>29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20</c:v>
                </c:pt>
                <c:pt idx="1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F4-4D7D-8AB5-7E2F8447D515}"/>
            </c:ext>
          </c:extLst>
        </c:ser>
        <c:ser>
          <c:idx val="0"/>
          <c:order val="1"/>
          <c:tx>
            <c:v>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'[1]Seasonal Results'!$C$187:$N$187</c:f>
              <c:numCache>
                <c:formatCode>General</c:formatCode>
                <c:ptCount val="1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</c:numCache>
            </c:numRef>
          </c:cat>
          <c:val>
            <c:numRef>
              <c:f>'Seasonal Results WTMP'!$C$191:$N$191</c:f>
              <c:numCache>
                <c:formatCode>0</c:formatCode>
                <c:ptCount val="12"/>
                <c:pt idx="0">
                  <c:v>38.162849999999999</c:v>
                </c:pt>
                <c:pt idx="1">
                  <c:v>151.549778</c:v>
                </c:pt>
                <c:pt idx="2">
                  <c:v>165.08288300000001</c:v>
                </c:pt>
                <c:pt idx="3">
                  <c:v>207.10750000000002</c:v>
                </c:pt>
                <c:pt idx="4">
                  <c:v>107.22095</c:v>
                </c:pt>
                <c:pt idx="5">
                  <c:v>87.220950000000002</c:v>
                </c:pt>
                <c:pt idx="6">
                  <c:v>73.723500000000001</c:v>
                </c:pt>
                <c:pt idx="7">
                  <c:v>82.235354999999998</c:v>
                </c:pt>
                <c:pt idx="8">
                  <c:v>21.898</c:v>
                </c:pt>
                <c:pt idx="9">
                  <c:v>21.294599999999999</c:v>
                </c:pt>
                <c:pt idx="10">
                  <c:v>12.294599999999999</c:v>
                </c:pt>
                <c:pt idx="11">
                  <c:v>27.878159999999998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F4-4D7D-8AB5-7E2F8447D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320228832"/>
        <c:axId val="-320233184"/>
      </c:barChart>
      <c:lineChart>
        <c:grouping val="standard"/>
        <c:varyColors val="0"/>
        <c:ser>
          <c:idx val="4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'[1]Seasonal Results'!$C$187:$N$187</c:f>
              <c:numCache>
                <c:formatCode>General</c:formatCode>
                <c:ptCount val="1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</c:numCache>
            </c:numRef>
          </c:cat>
          <c:val>
            <c:numRef>
              <c:f>'Seasonal Results WTMP'!$C$197:$N$197</c:f>
              <c:numCache>
                <c:formatCode>0</c:formatCode>
                <c:ptCount val="12"/>
                <c:pt idx="0">
                  <c:v>1953.678359792</c:v>
                </c:pt>
                <c:pt idx="1">
                  <c:v>1864.911301736</c:v>
                </c:pt>
                <c:pt idx="2">
                  <c:v>1750.4453158159999</c:v>
                </c:pt>
                <c:pt idx="3">
                  <c:v>1576.4110336539998</c:v>
                </c:pt>
                <c:pt idx="4">
                  <c:v>1495.9048470539999</c:v>
                </c:pt>
                <c:pt idx="5">
                  <c:v>1435.1095829400001</c:v>
                </c:pt>
                <c:pt idx="6">
                  <c:v>1385.0329679000001</c:v>
                </c:pt>
                <c:pt idx="7">
                  <c:v>1330.15327974</c:v>
                </c:pt>
                <c:pt idx="8">
                  <c:v>1336.9946053880001</c:v>
                </c:pt>
                <c:pt idx="9">
                  <c:v>1344.9078292680001</c:v>
                </c:pt>
                <c:pt idx="10">
                  <c:v>1351.1867184680002</c:v>
                </c:pt>
                <c:pt idx="11">
                  <c:v>1347.1453808480003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F4-4D7D-8AB5-7E2F8447D515}"/>
            </c:ext>
          </c:extLst>
        </c:ser>
        <c:ser>
          <c:idx val="2"/>
          <c:order val="3"/>
          <c:tx>
            <c:v>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'[1]Target Storages'!$B$27:$M$27</c:f>
              <c:numCache>
                <c:formatCode>General</c:formatCode>
                <c:ptCount val="12"/>
                <c:pt idx="0">
                  <c:v>1970</c:v>
                </c:pt>
                <c:pt idx="1">
                  <c:v>1970</c:v>
                </c:pt>
                <c:pt idx="2">
                  <c:v>1970</c:v>
                </c:pt>
                <c:pt idx="3">
                  <c:v>2200</c:v>
                </c:pt>
                <c:pt idx="4">
                  <c:v>2420</c:v>
                </c:pt>
                <c:pt idx="5">
                  <c:v>2420</c:v>
                </c:pt>
                <c:pt idx="6">
                  <c:v>2270</c:v>
                </c:pt>
                <c:pt idx="7">
                  <c:v>1970</c:v>
                </c:pt>
                <c:pt idx="8">
                  <c:v>1970</c:v>
                </c:pt>
                <c:pt idx="9">
                  <c:v>1970</c:v>
                </c:pt>
                <c:pt idx="10">
                  <c:v>1970</c:v>
                </c:pt>
                <c:pt idx="11">
                  <c:v>1970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F4-4D7D-8AB5-7E2F8447D515}"/>
            </c:ext>
          </c:extLst>
        </c:ser>
        <c:ser>
          <c:idx val="3"/>
          <c:order val="4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Storages'!$B$26:$M$26</c:f>
              <c:numCache>
                <c:formatCode>General</c:formatCode>
                <c:ptCount val="12"/>
                <c:pt idx="0">
                  <c:v>2040</c:v>
                </c:pt>
                <c:pt idx="1">
                  <c:v>2230</c:v>
                </c:pt>
                <c:pt idx="2">
                  <c:v>2420</c:v>
                </c:pt>
                <c:pt idx="3">
                  <c:v>2420</c:v>
                </c:pt>
                <c:pt idx="4">
                  <c:v>2420</c:v>
                </c:pt>
                <c:pt idx="5">
                  <c:v>2420</c:v>
                </c:pt>
                <c:pt idx="6">
                  <c:v>2270</c:v>
                </c:pt>
                <c:pt idx="7">
                  <c:v>1970</c:v>
                </c:pt>
                <c:pt idx="8">
                  <c:v>1970</c:v>
                </c:pt>
                <c:pt idx="9">
                  <c:v>1970</c:v>
                </c:pt>
                <c:pt idx="10">
                  <c:v>1970</c:v>
                </c:pt>
                <c:pt idx="11">
                  <c:v>1970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F4-4D7D-8AB5-7E2F8447D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20241888"/>
        <c:axId val="-320234816"/>
      </c:lineChart>
      <c:catAx>
        <c:axId val="-320228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2023318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-320233184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814814814814815E-2"/>
              <c:y val="0.3764944421787913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20228832"/>
        <c:crosses val="autoZero"/>
        <c:crossBetween val="between"/>
        <c:majorUnit val="200"/>
      </c:valAx>
      <c:catAx>
        <c:axId val="-3202418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-320234816"/>
        <c:crosses val="autoZero"/>
        <c:auto val="0"/>
        <c:lblAlgn val="ctr"/>
        <c:lblOffset val="100"/>
        <c:noMultiLvlLbl val="0"/>
      </c:catAx>
      <c:valAx>
        <c:axId val="-320234816"/>
        <c:scaling>
          <c:orientation val="minMax"/>
          <c:max val="25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481568970545351"/>
              <c:y val="0.4203191433740108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20241888"/>
        <c:crosses val="max"/>
        <c:crossBetween val="between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136265596860075"/>
          <c:y val="0.92547679891376411"/>
          <c:w val="0.37346794923529164"/>
          <c:h val="5.372618121034965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San Luis Storage</a:t>
            </a:r>
          </a:p>
        </c:rich>
      </c:tx>
      <c:layout>
        <c:manualLayout>
          <c:xMode val="edge"/>
          <c:yMode val="edge"/>
          <c:x val="0.4377292865839163"/>
          <c:y val="3.26633165829146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682560310355809E-2"/>
          <c:y val="8.5427135678391955E-2"/>
          <c:w val="0.89844504912522549"/>
          <c:h val="0.78643216080401945"/>
        </c:manualLayout>
      </c:layout>
      <c:lineChart>
        <c:grouping val="standard"/>
        <c:varyColors val="0"/>
        <c:ser>
          <c:idx val="0"/>
          <c:order val="0"/>
          <c:tx>
            <c:strRef>
              <c:f>'Seasonal Results WTMP'!$A$232</c:f>
              <c:strCache>
                <c:ptCount val="1"/>
                <c:pt idx="0">
                  <c:v>Federal Storage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'Seasonal Results WTMP'!$C$229:$N$229</c:f>
              <c:numCache>
                <c:formatCode>mmm</c:formatCode>
                <c:ptCount val="1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</c:numCache>
            </c:numRef>
          </c:cat>
          <c:val>
            <c:numRef>
              <c:f>'Seasonal Results WTMP'!$C$232:$N$232</c:f>
              <c:numCache>
                <c:formatCode>#,##0</c:formatCode>
                <c:ptCount val="12"/>
                <c:pt idx="0">
                  <c:v>833.04863199020008</c:v>
                </c:pt>
                <c:pt idx="1">
                  <c:v>792.02223725348017</c:v>
                </c:pt>
                <c:pt idx="2">
                  <c:v>643.51297396332018</c:v>
                </c:pt>
                <c:pt idx="3">
                  <c:v>492.66743725628021</c:v>
                </c:pt>
                <c:pt idx="4">
                  <c:v>371.98965812012017</c:v>
                </c:pt>
                <c:pt idx="5">
                  <c:v>303.45981131968017</c:v>
                </c:pt>
                <c:pt idx="6">
                  <c:v>330.9565875820802</c:v>
                </c:pt>
                <c:pt idx="7">
                  <c:v>422.9120184775602</c:v>
                </c:pt>
                <c:pt idx="8">
                  <c:v>447.69374281064017</c:v>
                </c:pt>
                <c:pt idx="9">
                  <c:v>632.90062398136013</c:v>
                </c:pt>
                <c:pt idx="10">
                  <c:v>807.46904249736019</c:v>
                </c:pt>
                <c:pt idx="11">
                  <c:v>887.87506844368011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E5-47D7-B719-F918B7D411CF}"/>
            </c:ext>
          </c:extLst>
        </c:ser>
        <c:ser>
          <c:idx val="1"/>
          <c:order val="1"/>
          <c:tx>
            <c:strRef>
              <c:f>'Seasonal Results WTMP'!$A$234</c:f>
              <c:strCache>
                <c:ptCount val="1"/>
                <c:pt idx="0">
                  <c:v>State Storage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'Seasonal Results WTMP'!$C$229:$N$229</c:f>
              <c:numCache>
                <c:formatCode>mmm</c:formatCode>
                <c:ptCount val="1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</c:numCache>
            </c:numRef>
          </c:cat>
          <c:val>
            <c:numRef>
              <c:f>'Seasonal Results WTMP'!$C$234:$N$234</c:f>
              <c:numCache>
                <c:formatCode>#,##0</c:formatCode>
                <c:ptCount val="12"/>
                <c:pt idx="0">
                  <c:v>1059.1060951698</c:v>
                </c:pt>
                <c:pt idx="1">
                  <c:v>965.69197653051992</c:v>
                </c:pt>
                <c:pt idx="2">
                  <c:v>842.52757319267994</c:v>
                </c:pt>
                <c:pt idx="3">
                  <c:v>764.23271626771998</c:v>
                </c:pt>
                <c:pt idx="4">
                  <c:v>621.07066947587998</c:v>
                </c:pt>
                <c:pt idx="5">
                  <c:v>594.80384042432001</c:v>
                </c:pt>
                <c:pt idx="6">
                  <c:v>653.38098908192001</c:v>
                </c:pt>
                <c:pt idx="7">
                  <c:v>773.51744807043997</c:v>
                </c:pt>
                <c:pt idx="8">
                  <c:v>881.41457370135993</c:v>
                </c:pt>
                <c:pt idx="9">
                  <c:v>931.71270560663993</c:v>
                </c:pt>
                <c:pt idx="10">
                  <c:v>1080.36929489064</c:v>
                </c:pt>
                <c:pt idx="11">
                  <c:v>1137.06800500032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E5-47D7-B719-F918B7D411CF}"/>
            </c:ext>
          </c:extLst>
        </c:ser>
        <c:ser>
          <c:idx val="2"/>
          <c:order val="2"/>
          <c:tx>
            <c:strRef>
              <c:f>'Seasonal Results WTMP'!$A$235</c:f>
              <c:strCache>
                <c:ptCount val="1"/>
                <c:pt idx="0">
                  <c:v>Total Storage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'Seasonal Results WTMP'!$C$229:$N$229</c:f>
              <c:numCache>
                <c:formatCode>mmm</c:formatCode>
                <c:ptCount val="12"/>
                <c:pt idx="0">
                  <c:v>45717</c:v>
                </c:pt>
                <c:pt idx="1">
                  <c:v>45748</c:v>
                </c:pt>
                <c:pt idx="2">
                  <c:v>45778</c:v>
                </c:pt>
                <c:pt idx="3">
                  <c:v>45809</c:v>
                </c:pt>
                <c:pt idx="4">
                  <c:v>45839</c:v>
                </c:pt>
                <c:pt idx="5">
                  <c:v>45870</c:v>
                </c:pt>
                <c:pt idx="6">
                  <c:v>45901</c:v>
                </c:pt>
                <c:pt idx="7">
                  <c:v>45931</c:v>
                </c:pt>
                <c:pt idx="8">
                  <c:v>45962</c:v>
                </c:pt>
                <c:pt idx="9">
                  <c:v>45992</c:v>
                </c:pt>
                <c:pt idx="10">
                  <c:v>46023</c:v>
                </c:pt>
                <c:pt idx="11">
                  <c:v>46054</c:v>
                </c:pt>
              </c:numCache>
            </c:numRef>
          </c:cat>
          <c:val>
            <c:numRef>
              <c:f>'Seasonal Results WTMP'!$C$235:$N$235</c:f>
              <c:numCache>
                <c:formatCode>#,##0</c:formatCode>
                <c:ptCount val="12"/>
                <c:pt idx="0">
                  <c:v>1892.1547271600002</c:v>
                </c:pt>
                <c:pt idx="1">
                  <c:v>1757.7142137840001</c:v>
                </c:pt>
                <c:pt idx="2">
                  <c:v>1486.0405471560002</c:v>
                </c:pt>
                <c:pt idx="3">
                  <c:v>1256.9001535240002</c:v>
                </c:pt>
                <c:pt idx="4">
                  <c:v>993.06032759600021</c:v>
                </c:pt>
                <c:pt idx="5">
                  <c:v>898.26365174400019</c:v>
                </c:pt>
                <c:pt idx="6">
                  <c:v>984.33757666400015</c:v>
                </c:pt>
                <c:pt idx="7">
                  <c:v>1196.4294665480002</c:v>
                </c:pt>
                <c:pt idx="8">
                  <c:v>1329.1083165120001</c:v>
                </c:pt>
                <c:pt idx="9">
                  <c:v>1564.6133295879999</c:v>
                </c:pt>
                <c:pt idx="10">
                  <c:v>1887.8383373880001</c:v>
                </c:pt>
                <c:pt idx="11">
                  <c:v>2024.9430734440002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E5-47D7-B719-F918B7D41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20232640"/>
        <c:axId val="-320232096"/>
      </c:lineChart>
      <c:dateAx>
        <c:axId val="-320232640"/>
        <c:scaling>
          <c:orientation val="minMax"/>
        </c:scaling>
        <c:delete val="0"/>
        <c:axPos val="b"/>
        <c:numFmt formatCode="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2023209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-320232096"/>
        <c:scaling>
          <c:orientation val="minMax"/>
          <c:max val="22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(TAF)</a:t>
                </a:r>
              </a:p>
            </c:rich>
          </c:tx>
          <c:layout>
            <c:manualLayout>
              <c:xMode val="edge"/>
              <c:yMode val="edge"/>
              <c:x val="1.3736279305434492E-2"/>
              <c:y val="0.3316580276711643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20232640"/>
        <c:crosses val="autoZero"/>
        <c:crossBetween val="between"/>
        <c:majorUnit val="200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371475</xdr:colOff>
      <xdr:row>13</xdr:row>
      <xdr:rowOff>123825</xdr:rowOff>
    </xdr:from>
    <xdr:to>
      <xdr:col>13</xdr:col>
      <xdr:colOff>347495</xdr:colOff>
      <xdr:row>34</xdr:row>
      <xdr:rowOff>65218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C97AAF-DF06-46C3-B134-56E559C7A2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352425</xdr:colOff>
      <xdr:row>47</xdr:row>
      <xdr:rowOff>133350</xdr:rowOff>
    </xdr:from>
    <xdr:to>
      <xdr:col>13</xdr:col>
      <xdr:colOff>61745</xdr:colOff>
      <xdr:row>68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B84BCA-068E-42F1-A5A6-C001CB8F29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314325</xdr:colOff>
      <xdr:row>84</xdr:row>
      <xdr:rowOff>47625</xdr:rowOff>
    </xdr:from>
    <xdr:to>
      <xdr:col>13</xdr:col>
      <xdr:colOff>183665</xdr:colOff>
      <xdr:row>109</xdr:row>
      <xdr:rowOff>154305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7FC292-CE4D-4F40-AF3B-055ACADC6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114300</xdr:colOff>
      <xdr:row>122</xdr:row>
      <xdr:rowOff>9525</xdr:rowOff>
    </xdr:from>
    <xdr:to>
      <xdr:col>12</xdr:col>
      <xdr:colOff>548416</xdr:colOff>
      <xdr:row>145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FDAE8E4-079B-4D5A-ADB0-B3F46A2484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180975</xdr:colOff>
      <xdr:row>160</xdr:row>
      <xdr:rowOff>85725</xdr:rowOff>
    </xdr:from>
    <xdr:to>
      <xdr:col>13</xdr:col>
      <xdr:colOff>781835</xdr:colOff>
      <xdr:row>185</xdr:row>
      <xdr:rowOff>78105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EAC788-B16D-4494-B94C-E65E34B681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409575</xdr:colOff>
      <xdr:row>202</xdr:row>
      <xdr:rowOff>9525</xdr:rowOff>
    </xdr:from>
    <xdr:to>
      <xdr:col>13</xdr:col>
      <xdr:colOff>58383</xdr:colOff>
      <xdr:row>227</xdr:row>
      <xdr:rowOff>24765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E708A35-70CD-42D7-B4AA-AC614FE8E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733425</xdr:colOff>
      <xdr:row>238</xdr:row>
      <xdr:rowOff>28575</xdr:rowOff>
    </xdr:from>
    <xdr:to>
      <xdr:col>13</xdr:col>
      <xdr:colOff>511773</xdr:colOff>
      <xdr:row>260</xdr:row>
      <xdr:rowOff>143099</xdr:rowOff>
    </xdr:to>
    <xdr:graphicFrame macro="">
      <xdr:nvGraphicFramePr>
        <xdr:cNvPr id="8" name="Chart 11">
          <a:extLst>
            <a:ext uri="{FF2B5EF4-FFF2-40B4-BE49-F238E27FC236}">
              <a16:creationId xmlns:a16="http://schemas.microsoft.com/office/drawing/2014/main" id="{415D8B94-549F-4871-BA81-B6AFD3EEA4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oimspp-my.sharepoint.com/personal/mpacheco_usbr_gov/Documents/Documents/Temperature%20(DOCUMENTS)/WTMP%20(DOCUMENTS)/Forecast/Ops%20Spreadsheets/WY2025/Mar90_WY2025.xlsm" TargetMode="External"/><Relationship Id="rId1" Type="http://schemas.openxmlformats.org/officeDocument/2006/relationships/externalLinkPath" Target="Mar90_WY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ginning Page"/>
      <sheetName val="Model Input"/>
      <sheetName val="Summary"/>
      <sheetName val="Summary_508"/>
      <sheetName val="Seasonal Results"/>
      <sheetName val="Jan"/>
      <sheetName val="Feb"/>
      <sheetName val="Mar"/>
      <sheetName val="Apr"/>
      <sheetName val="May"/>
      <sheetName val="June"/>
      <sheetName val="July"/>
      <sheetName val="Aug"/>
      <sheetName val="Sep"/>
      <sheetName val="Oct"/>
      <sheetName val="Nov"/>
      <sheetName val="Dec"/>
      <sheetName val="CALCS"/>
      <sheetName val="Target Storages"/>
      <sheetName val="Lookup"/>
      <sheetName val="Power"/>
      <sheetName val="Evaporation Coefs"/>
      <sheetName val="Res_Area_Tbl"/>
      <sheetName val="Folsom ACT"/>
      <sheetName val="New Melones ACT"/>
      <sheetName val="Oroville ACT"/>
      <sheetName val="Shasta ACT"/>
      <sheetName val="Trinity ACT"/>
      <sheetName val="Whiskey ACT"/>
      <sheetName val="SanLuis ACT"/>
      <sheetName val="Sac AFRP"/>
      <sheetName val="Amer AFRP"/>
      <sheetName val="ClCr AFRP"/>
      <sheetName val="CALSIM Date"/>
      <sheetName val="Seasonal Results WTMP"/>
      <sheetName val="Sheet1"/>
    </sheetNames>
    <sheetDataSet>
      <sheetData sheetId="0"/>
      <sheetData sheetId="1"/>
      <sheetData sheetId="2"/>
      <sheetData sheetId="3"/>
      <sheetData sheetId="4">
        <row r="3">
          <cell r="C3">
            <v>45717</v>
          </cell>
        </row>
        <row r="70">
          <cell r="C70">
            <v>45717</v>
          </cell>
          <cell r="D70">
            <v>45748</v>
          </cell>
          <cell r="E70">
            <v>45778</v>
          </cell>
          <cell r="F70">
            <v>45809</v>
          </cell>
          <cell r="G70">
            <v>45839</v>
          </cell>
          <cell r="H70">
            <v>45870</v>
          </cell>
          <cell r="I70">
            <v>45901</v>
          </cell>
          <cell r="J70">
            <v>45931</v>
          </cell>
          <cell r="K70">
            <v>45962</v>
          </cell>
          <cell r="L70">
            <v>45992</v>
          </cell>
          <cell r="M70">
            <v>46023</v>
          </cell>
          <cell r="N70">
            <v>46054</v>
          </cell>
        </row>
        <row r="111">
          <cell r="C111">
            <v>45717</v>
          </cell>
          <cell r="D111">
            <v>45748</v>
          </cell>
          <cell r="E111">
            <v>45778</v>
          </cell>
          <cell r="F111">
            <v>45809</v>
          </cell>
          <cell r="G111">
            <v>45839</v>
          </cell>
          <cell r="H111">
            <v>45870</v>
          </cell>
          <cell r="I111">
            <v>45901</v>
          </cell>
          <cell r="J111">
            <v>45931</v>
          </cell>
          <cell r="K111">
            <v>45962</v>
          </cell>
          <cell r="L111">
            <v>45992</v>
          </cell>
          <cell r="M111">
            <v>46023</v>
          </cell>
          <cell r="N111">
            <v>46054</v>
          </cell>
        </row>
        <row r="147">
          <cell r="C147">
            <v>45717</v>
          </cell>
          <cell r="D147">
            <v>45748</v>
          </cell>
          <cell r="E147">
            <v>45778</v>
          </cell>
          <cell r="F147">
            <v>45809</v>
          </cell>
          <cell r="G147">
            <v>45839</v>
          </cell>
          <cell r="H147">
            <v>45870</v>
          </cell>
          <cell r="I147">
            <v>45901</v>
          </cell>
          <cell r="J147">
            <v>45931</v>
          </cell>
          <cell r="K147">
            <v>45962</v>
          </cell>
          <cell r="L147">
            <v>45992</v>
          </cell>
          <cell r="M147">
            <v>46023</v>
          </cell>
          <cell r="N147">
            <v>46054</v>
          </cell>
        </row>
        <row r="187">
          <cell r="C187">
            <v>45717</v>
          </cell>
          <cell r="D187">
            <v>45748</v>
          </cell>
          <cell r="E187">
            <v>45778</v>
          </cell>
          <cell r="F187">
            <v>45809</v>
          </cell>
          <cell r="G187">
            <v>45839</v>
          </cell>
          <cell r="H187">
            <v>45870</v>
          </cell>
          <cell r="I187">
            <v>45901</v>
          </cell>
          <cell r="J187">
            <v>45931</v>
          </cell>
          <cell r="K187">
            <v>45962</v>
          </cell>
          <cell r="L187">
            <v>45992</v>
          </cell>
          <cell r="M187">
            <v>46023</v>
          </cell>
          <cell r="N187">
            <v>46054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2">
          <cell r="B22">
            <v>3412</v>
          </cell>
          <cell r="C22">
            <v>3852</v>
          </cell>
          <cell r="D22">
            <v>4322</v>
          </cell>
          <cell r="E22">
            <v>4552</v>
          </cell>
          <cell r="F22">
            <v>4552</v>
          </cell>
          <cell r="G22">
            <v>4552</v>
          </cell>
          <cell r="H22">
            <v>4552</v>
          </cell>
          <cell r="I22">
            <v>3882</v>
          </cell>
          <cell r="J22">
            <v>3252</v>
          </cell>
          <cell r="K22">
            <v>3252</v>
          </cell>
          <cell r="L22">
            <v>3252</v>
          </cell>
          <cell r="M22">
            <v>3252</v>
          </cell>
        </row>
        <row r="23">
          <cell r="B23">
            <v>4552</v>
          </cell>
          <cell r="C23">
            <v>4552</v>
          </cell>
          <cell r="D23">
            <v>4552</v>
          </cell>
          <cell r="E23">
            <v>4552</v>
          </cell>
          <cell r="F23">
            <v>4552</v>
          </cell>
          <cell r="G23">
            <v>4552</v>
          </cell>
          <cell r="H23">
            <v>4552</v>
          </cell>
          <cell r="I23">
            <v>3882</v>
          </cell>
          <cell r="J23">
            <v>3252</v>
          </cell>
          <cell r="K23">
            <v>3252</v>
          </cell>
          <cell r="L23">
            <v>3872</v>
          </cell>
          <cell r="M23">
            <v>4252</v>
          </cell>
        </row>
        <row r="24">
          <cell r="B24">
            <v>2788</v>
          </cell>
          <cell r="C24">
            <v>3083</v>
          </cell>
          <cell r="D24">
            <v>3388</v>
          </cell>
          <cell r="E24">
            <v>3538</v>
          </cell>
          <cell r="F24">
            <v>3538</v>
          </cell>
          <cell r="G24">
            <v>3538</v>
          </cell>
          <cell r="H24">
            <v>3148</v>
          </cell>
          <cell r="I24">
            <v>2788</v>
          </cell>
          <cell r="J24">
            <v>2788</v>
          </cell>
          <cell r="K24">
            <v>2788</v>
          </cell>
          <cell r="L24">
            <v>2788</v>
          </cell>
          <cell r="M24">
            <v>2788</v>
          </cell>
        </row>
        <row r="25">
          <cell r="B25">
            <v>3163</v>
          </cell>
          <cell r="C25">
            <v>3458</v>
          </cell>
          <cell r="D25">
            <v>3538</v>
          </cell>
          <cell r="E25">
            <v>3538</v>
          </cell>
          <cell r="F25">
            <v>3538</v>
          </cell>
          <cell r="G25">
            <v>3538</v>
          </cell>
          <cell r="H25">
            <v>3343</v>
          </cell>
          <cell r="I25">
            <v>3163</v>
          </cell>
          <cell r="J25">
            <v>3163</v>
          </cell>
          <cell r="K25">
            <v>3163</v>
          </cell>
          <cell r="L25">
            <v>3163</v>
          </cell>
          <cell r="M25">
            <v>3163</v>
          </cell>
        </row>
        <row r="26">
          <cell r="B26">
            <v>2040</v>
          </cell>
          <cell r="C26">
            <v>2230</v>
          </cell>
          <cell r="D26">
            <v>2420</v>
          </cell>
          <cell r="E26">
            <v>2420</v>
          </cell>
          <cell r="F26">
            <v>2420</v>
          </cell>
          <cell r="G26">
            <v>2420</v>
          </cell>
          <cell r="H26">
            <v>2270</v>
          </cell>
          <cell r="I26">
            <v>1970</v>
          </cell>
          <cell r="J26">
            <v>1970</v>
          </cell>
          <cell r="K26">
            <v>1970</v>
          </cell>
          <cell r="L26">
            <v>1970</v>
          </cell>
          <cell r="M26">
            <v>1970</v>
          </cell>
        </row>
        <row r="27">
          <cell r="B27">
            <v>1970</v>
          </cell>
          <cell r="C27">
            <v>1970</v>
          </cell>
          <cell r="D27">
            <v>1970</v>
          </cell>
          <cell r="E27">
            <v>2200</v>
          </cell>
          <cell r="F27">
            <v>2420</v>
          </cell>
          <cell r="G27">
            <v>2420</v>
          </cell>
          <cell r="H27">
            <v>2270</v>
          </cell>
          <cell r="I27">
            <v>1970</v>
          </cell>
          <cell r="J27">
            <v>1970</v>
          </cell>
          <cell r="K27">
            <v>1970</v>
          </cell>
          <cell r="L27">
            <v>1970</v>
          </cell>
          <cell r="M27">
            <v>1970</v>
          </cell>
        </row>
        <row r="28">
          <cell r="B28">
            <v>755</v>
          </cell>
          <cell r="C28">
            <v>900</v>
          </cell>
          <cell r="D28">
            <v>966</v>
          </cell>
          <cell r="E28">
            <v>966</v>
          </cell>
          <cell r="F28">
            <v>966</v>
          </cell>
          <cell r="G28">
            <v>966</v>
          </cell>
          <cell r="H28">
            <v>966</v>
          </cell>
          <cell r="I28">
            <v>715</v>
          </cell>
          <cell r="J28">
            <v>566</v>
          </cell>
          <cell r="K28">
            <v>566</v>
          </cell>
          <cell r="L28">
            <v>566</v>
          </cell>
          <cell r="M28">
            <v>566</v>
          </cell>
        </row>
      </sheetData>
      <sheetData sheetId="19">
        <row r="97">
          <cell r="Q97">
            <v>0.43333333333333335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3">
          <cell r="C3">
            <v>45717</v>
          </cell>
        </row>
      </sheetData>
      <sheetData sheetId="3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B3C19-F539-438A-901C-455BBB0DD444}">
  <sheetPr codeName="Sheet35"/>
  <dimension ref="A1:O293"/>
  <sheetViews>
    <sheetView tabSelected="1" topLeftCell="A137" workbookViewId="0"/>
  </sheetViews>
  <sheetFormatPr defaultRowHeight="12.3" x14ac:dyDescent="0.4"/>
  <cols>
    <col min="1" max="1" width="24" customWidth="1"/>
    <col min="2" max="2" width="11.44140625" customWidth="1"/>
    <col min="3" max="14" width="14.5546875" bestFit="1" customWidth="1"/>
  </cols>
  <sheetData>
    <row r="1" spans="1:15" ht="15" customHeight="1" x14ac:dyDescent="0.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" x14ac:dyDescent="0.5">
      <c r="A3" s="1"/>
      <c r="B3" s="2"/>
      <c r="C3" s="3">
        <v>45717</v>
      </c>
      <c r="D3" s="3">
        <v>45748</v>
      </c>
      <c r="E3" s="3">
        <v>45778</v>
      </c>
      <c r="F3" s="3">
        <v>45809</v>
      </c>
      <c r="G3" s="3">
        <v>45839</v>
      </c>
      <c r="H3" s="3">
        <v>45870</v>
      </c>
      <c r="I3" s="3">
        <v>45901</v>
      </c>
      <c r="J3" s="3">
        <v>45931</v>
      </c>
      <c r="K3" s="3">
        <v>45962</v>
      </c>
      <c r="L3" s="3">
        <v>45992</v>
      </c>
      <c r="M3" s="3">
        <v>46023</v>
      </c>
      <c r="N3" s="3">
        <v>46054</v>
      </c>
      <c r="O3" s="1"/>
    </row>
    <row r="4" spans="1:15" ht="15" x14ac:dyDescent="0.5">
      <c r="A4" s="4" t="s">
        <v>0</v>
      </c>
      <c r="B4" s="5">
        <v>45734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4.1" x14ac:dyDescent="0.5">
      <c r="A5" s="2" t="s">
        <v>1</v>
      </c>
      <c r="B5" s="1"/>
      <c r="C5" s="6">
        <v>73.666666666666671</v>
      </c>
      <c r="D5" s="1">
        <v>212</v>
      </c>
      <c r="E5" s="1">
        <v>260</v>
      </c>
      <c r="F5" s="1">
        <v>120</v>
      </c>
      <c r="G5" s="1">
        <v>20</v>
      </c>
      <c r="H5" s="1">
        <v>10</v>
      </c>
      <c r="I5" s="1">
        <v>20</v>
      </c>
      <c r="J5" s="1">
        <v>12</v>
      </c>
      <c r="K5" s="1">
        <v>22</v>
      </c>
      <c r="L5" s="1">
        <v>41</v>
      </c>
      <c r="M5" s="1">
        <v>33</v>
      </c>
      <c r="N5" s="1">
        <v>55</v>
      </c>
      <c r="O5" s="1"/>
    </row>
    <row r="6" spans="1:15" ht="14.1" x14ac:dyDescent="0.5">
      <c r="A6" s="2" t="s">
        <v>2</v>
      </c>
      <c r="B6" s="1"/>
      <c r="C6" s="7">
        <v>6.6381122887392792</v>
      </c>
      <c r="D6" s="7">
        <v>5.4514857200000115</v>
      </c>
      <c r="E6" s="7">
        <v>7.3786244999999999</v>
      </c>
      <c r="F6" s="7">
        <v>8.2884995200000109</v>
      </c>
      <c r="G6" s="7">
        <v>10.465860280000022</v>
      </c>
      <c r="H6" s="7">
        <v>9.2470029300000203</v>
      </c>
      <c r="I6" s="7">
        <v>7.3365225500000211</v>
      </c>
      <c r="J6" s="7">
        <v>3.5329950249999995</v>
      </c>
      <c r="K6" s="7">
        <v>1.6873284750000068</v>
      </c>
      <c r="L6" s="7">
        <v>1.0501376800000035</v>
      </c>
      <c r="M6" s="7">
        <v>1.8517760250000017</v>
      </c>
      <c r="N6" s="7">
        <v>1.5038665900000012</v>
      </c>
      <c r="O6" s="1"/>
    </row>
    <row r="7" spans="1:15" ht="14.1" x14ac:dyDescent="0.5">
      <c r="A7" s="2" t="s">
        <v>3</v>
      </c>
      <c r="B7" s="1"/>
      <c r="C7" s="7">
        <v>66.695719248166668</v>
      </c>
      <c r="D7" s="7">
        <v>119.87926171000004</v>
      </c>
      <c r="E7" s="7">
        <v>307.13782264500003</v>
      </c>
      <c r="F7" s="7">
        <v>230.95856810499998</v>
      </c>
      <c r="G7" s="7">
        <v>145.17205361999999</v>
      </c>
      <c r="H7" s="7">
        <v>130.12135975499996</v>
      </c>
      <c r="I7" s="7">
        <v>129.82080498357067</v>
      </c>
      <c r="J7" s="7">
        <v>63.366738704999982</v>
      </c>
      <c r="K7" s="7">
        <v>24.777579123000002</v>
      </c>
      <c r="L7" s="7">
        <v>81.676619627999997</v>
      </c>
      <c r="M7" s="7">
        <v>28.928897485000029</v>
      </c>
      <c r="N7" s="7">
        <v>21.713372805999999</v>
      </c>
      <c r="O7" s="1"/>
    </row>
    <row r="8" spans="1:15" ht="14.1" x14ac:dyDescent="0.5">
      <c r="A8" s="2" t="s">
        <v>4</v>
      </c>
      <c r="B8" s="1"/>
      <c r="C8" s="6">
        <v>2500</v>
      </c>
      <c r="D8" s="6">
        <v>2000</v>
      </c>
      <c r="E8" s="6">
        <v>4709.2903225806449</v>
      </c>
      <c r="F8" s="6">
        <v>2526.4</v>
      </c>
      <c r="G8" s="6">
        <v>1102.4193548387098</v>
      </c>
      <c r="H8" s="6">
        <v>856.58009221236489</v>
      </c>
      <c r="I8" s="6">
        <v>870.13276195277695</v>
      </c>
      <c r="J8" s="6">
        <v>372.58064516129031</v>
      </c>
      <c r="K8" s="6">
        <v>300</v>
      </c>
      <c r="L8" s="6">
        <v>1276</v>
      </c>
      <c r="M8" s="6">
        <v>300</v>
      </c>
      <c r="N8" s="6">
        <v>300</v>
      </c>
      <c r="O8" s="1"/>
    </row>
    <row r="9" spans="1:15" ht="14.1" x14ac:dyDescent="0.5">
      <c r="A9" s="2" t="s">
        <v>5</v>
      </c>
      <c r="B9" s="1"/>
      <c r="C9" s="7">
        <v>66.59575000000001</v>
      </c>
      <c r="D9" s="7">
        <v>118.98</v>
      </c>
      <c r="E9" s="7">
        <v>289.49420399999997</v>
      </c>
      <c r="F9" s="7">
        <v>150.295536</v>
      </c>
      <c r="G9" s="7">
        <v>67.769024999999999</v>
      </c>
      <c r="H9" s="7">
        <v>52.682361</v>
      </c>
      <c r="I9" s="7">
        <v>51.764198008570702</v>
      </c>
      <c r="J9" s="7">
        <v>22.929428999999999</v>
      </c>
      <c r="K9" s="7">
        <v>17.847000000000001</v>
      </c>
      <c r="L9" s="7">
        <v>78.439548000000002</v>
      </c>
      <c r="M9" s="7">
        <v>18.4419</v>
      </c>
      <c r="N9" s="7">
        <v>16.6572</v>
      </c>
      <c r="O9" s="1"/>
    </row>
    <row r="10" spans="1:15" ht="14.1" x14ac:dyDescent="0.5">
      <c r="A10" s="2" t="s">
        <v>6</v>
      </c>
      <c r="B10" s="1"/>
      <c r="C10" s="7">
        <v>9.9969248166667066E-2</v>
      </c>
      <c r="D10" s="7">
        <v>0.89926171000002952</v>
      </c>
      <c r="E10" s="7">
        <v>17.643618645000036</v>
      </c>
      <c r="F10" s="7">
        <v>80.663032104999999</v>
      </c>
      <c r="G10" s="7">
        <v>77.403028620000001</v>
      </c>
      <c r="H10" s="7">
        <v>77.438998754999972</v>
      </c>
      <c r="I10" s="7">
        <v>78.05660697499998</v>
      </c>
      <c r="J10" s="7">
        <v>40.437309704999983</v>
      </c>
      <c r="K10" s="7">
        <v>6.9305791230000011</v>
      </c>
      <c r="L10" s="7">
        <v>3.2370716280000025</v>
      </c>
      <c r="M10" s="7">
        <v>10.486997485000028</v>
      </c>
      <c r="N10" s="7">
        <v>5.0561728059999993</v>
      </c>
      <c r="O10" s="7"/>
    </row>
    <row r="11" spans="1:15" ht="14.1" x14ac:dyDescent="0.5">
      <c r="A11" s="2" t="s">
        <v>7</v>
      </c>
      <c r="B11" s="8">
        <v>2040</v>
      </c>
      <c r="C11" s="6">
        <v>2040.3328351297607</v>
      </c>
      <c r="D11" s="6">
        <v>2127.0020876997605</v>
      </c>
      <c r="E11" s="6">
        <v>2072.4856405547603</v>
      </c>
      <c r="F11" s="6">
        <v>1953.2385729297603</v>
      </c>
      <c r="G11" s="6">
        <v>1817.6006590297602</v>
      </c>
      <c r="H11" s="6">
        <v>1688.2322963447602</v>
      </c>
      <c r="I11" s="6">
        <v>1571.0749688111896</v>
      </c>
      <c r="J11" s="6">
        <v>1516.1752350811896</v>
      </c>
      <c r="K11" s="6">
        <v>1511.7103274831898</v>
      </c>
      <c r="L11" s="6">
        <v>1469.9835701751897</v>
      </c>
      <c r="M11" s="6">
        <v>1472.2028966651897</v>
      </c>
      <c r="N11" s="6">
        <v>1503.9856572691897</v>
      </c>
      <c r="O11" s="7"/>
    </row>
    <row r="12" spans="1:15" ht="14.1" x14ac:dyDescent="0.5">
      <c r="A12" s="2" t="s">
        <v>8</v>
      </c>
      <c r="B12" s="1"/>
      <c r="C12" s="6">
        <v>2344</v>
      </c>
      <c r="D12" s="6">
        <v>2350</v>
      </c>
      <c r="E12" s="6">
        <v>2346</v>
      </c>
      <c r="F12" s="6">
        <v>2338</v>
      </c>
      <c r="G12" s="6">
        <v>2328</v>
      </c>
      <c r="H12" s="6">
        <v>2318</v>
      </c>
      <c r="I12" s="6">
        <v>2309</v>
      </c>
      <c r="J12" s="6">
        <v>2305</v>
      </c>
      <c r="K12" s="6">
        <v>2304</v>
      </c>
      <c r="L12" s="6">
        <v>2301</v>
      </c>
      <c r="M12" s="6">
        <v>2301</v>
      </c>
      <c r="N12" s="6">
        <v>2304</v>
      </c>
      <c r="O12" s="1"/>
    </row>
    <row r="13" spans="1:15" ht="14.1" x14ac:dyDescent="0.5">
      <c r="A13" s="2" t="s">
        <v>9</v>
      </c>
      <c r="B13" s="1"/>
      <c r="C13" s="6">
        <v>13839.028167030549</v>
      </c>
      <c r="D13" s="6">
        <v>14123.02000000003</v>
      </c>
      <c r="E13" s="6">
        <v>14553.5</v>
      </c>
      <c r="F13" s="6">
        <v>14265.920000000018</v>
      </c>
      <c r="G13" s="6">
        <v>13698.77000000003</v>
      </c>
      <c r="H13" s="6">
        <v>13005.630000000028</v>
      </c>
      <c r="I13" s="6">
        <v>12330.290000000037</v>
      </c>
      <c r="J13" s="6">
        <v>11737.525</v>
      </c>
      <c r="K13" s="6">
        <v>11478.425000000047</v>
      </c>
      <c r="L13" s="6">
        <v>11414.540000000037</v>
      </c>
      <c r="M13" s="6">
        <v>11222.885000000009</v>
      </c>
      <c r="N13" s="6">
        <v>11222.885000000009</v>
      </c>
      <c r="O13" s="1"/>
    </row>
    <row r="14" spans="1:15" ht="14.1" x14ac:dyDescent="0.5">
      <c r="A14" s="1"/>
      <c r="B14" s="1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"/>
    </row>
    <row r="15" spans="1:15" ht="14.1" x14ac:dyDescent="0.5">
      <c r="A15" s="1"/>
      <c r="B15" s="1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"/>
    </row>
    <row r="16" spans="1:15" ht="14.1" x14ac:dyDescent="0.5">
      <c r="A16" s="1"/>
      <c r="B16" s="1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"/>
    </row>
    <row r="17" spans="1:15" ht="14.1" x14ac:dyDescent="0.5">
      <c r="A17" s="1"/>
      <c r="B17" s="1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"/>
    </row>
    <row r="18" spans="1:15" ht="14.1" x14ac:dyDescent="0.5">
      <c r="A18" s="1"/>
      <c r="B18" s="1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"/>
    </row>
    <row r="19" spans="1:15" ht="14.1" x14ac:dyDescent="0.5">
      <c r="A19" s="1"/>
      <c r="B19" s="1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1"/>
    </row>
    <row r="20" spans="1:15" ht="14.1" x14ac:dyDescent="0.5">
      <c r="A20" s="1"/>
      <c r="B20" s="1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"/>
    </row>
    <row r="21" spans="1:15" ht="14.1" x14ac:dyDescent="0.5">
      <c r="A21" s="1"/>
      <c r="B21" s="1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"/>
    </row>
    <row r="22" spans="1:15" ht="14.1" x14ac:dyDescent="0.5">
      <c r="A22" s="1"/>
      <c r="B22" s="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"/>
    </row>
    <row r="23" spans="1:15" ht="14.1" x14ac:dyDescent="0.5">
      <c r="A23" s="1"/>
      <c r="B23" s="1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"/>
    </row>
    <row r="24" spans="1:15" ht="14.1" x14ac:dyDescent="0.5">
      <c r="A24" s="1"/>
      <c r="B24" s="1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"/>
    </row>
    <row r="25" spans="1:15" ht="12.75" customHeight="1" x14ac:dyDescent="0.5">
      <c r="A25" s="1"/>
      <c r="B25" s="1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"/>
    </row>
    <row r="26" spans="1:15" ht="14.1" x14ac:dyDescent="0.5">
      <c r="A26" s="1"/>
      <c r="B26" s="1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"/>
    </row>
    <row r="27" spans="1:15" ht="14.1" x14ac:dyDescent="0.5">
      <c r="A27" s="1"/>
      <c r="B27" s="1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1"/>
    </row>
    <row r="28" spans="1:15" ht="14.1" x14ac:dyDescent="0.5">
      <c r="A28" s="1"/>
      <c r="B28" s="1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"/>
    </row>
    <row r="29" spans="1:15" ht="14.1" x14ac:dyDescent="0.5">
      <c r="A29" s="1"/>
      <c r="B29" s="1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"/>
    </row>
    <row r="30" spans="1:15" ht="14.1" x14ac:dyDescent="0.5">
      <c r="A30" s="1"/>
      <c r="B30" s="1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"/>
    </row>
    <row r="31" spans="1:15" ht="14.1" x14ac:dyDescent="0.5">
      <c r="A31" s="1"/>
      <c r="B31" s="1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"/>
    </row>
    <row r="32" spans="1:15" ht="14.1" x14ac:dyDescent="0.5">
      <c r="A32" s="1"/>
      <c r="B32" s="1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"/>
    </row>
    <row r="33" spans="1:15" ht="15" x14ac:dyDescent="0.5">
      <c r="A33" s="1"/>
      <c r="B33" s="1"/>
      <c r="C33" s="10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5">
      <c r="A34" s="1"/>
      <c r="B34" s="1"/>
      <c r="C34" s="10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5">
      <c r="A35" s="1"/>
      <c r="B35" s="1"/>
      <c r="C35" s="10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5">
      <c r="A36" s="1"/>
      <c r="B36" s="10"/>
      <c r="C36" s="3">
        <v>45717</v>
      </c>
      <c r="D36" s="3">
        <v>45748</v>
      </c>
      <c r="E36" s="3">
        <v>45778</v>
      </c>
      <c r="F36" s="3">
        <v>45809</v>
      </c>
      <c r="G36" s="3">
        <v>45839</v>
      </c>
      <c r="H36" s="3">
        <v>45870</v>
      </c>
      <c r="I36" s="3">
        <v>45901</v>
      </c>
      <c r="J36" s="3">
        <v>45931</v>
      </c>
      <c r="K36" s="3">
        <v>45962</v>
      </c>
      <c r="L36" s="3">
        <v>45992</v>
      </c>
      <c r="M36" s="3">
        <v>46023</v>
      </c>
      <c r="N36" s="3">
        <v>46054</v>
      </c>
      <c r="O36" s="1"/>
    </row>
    <row r="37" spans="1:15" ht="15" x14ac:dyDescent="0.5">
      <c r="A37" s="4" t="s">
        <v>10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4.1" x14ac:dyDescent="0.5">
      <c r="A38" s="11" t="s">
        <v>1</v>
      </c>
      <c r="B38" s="1"/>
      <c r="C38" s="6">
        <v>21.666666666666668</v>
      </c>
      <c r="D38" s="1">
        <v>16</v>
      </c>
      <c r="E38" s="1">
        <v>8</v>
      </c>
      <c r="F38" s="1">
        <v>4</v>
      </c>
      <c r="G38" s="1">
        <v>2</v>
      </c>
      <c r="H38" s="1">
        <v>1</v>
      </c>
      <c r="I38" s="1">
        <v>1</v>
      </c>
      <c r="J38" s="1">
        <v>3</v>
      </c>
      <c r="K38" s="1">
        <v>6</v>
      </c>
      <c r="L38" s="1">
        <v>13</v>
      </c>
      <c r="M38" s="1">
        <v>8</v>
      </c>
      <c r="N38" s="1">
        <v>12</v>
      </c>
      <c r="O38" s="1"/>
    </row>
    <row r="39" spans="1:15" ht="14.1" x14ac:dyDescent="0.5">
      <c r="A39" s="11" t="s">
        <v>2</v>
      </c>
      <c r="B39" s="1"/>
      <c r="C39" s="7">
        <v>1.1403484148333631</v>
      </c>
      <c r="D39" s="7">
        <v>1.2250617100000016</v>
      </c>
      <c r="E39" s="7">
        <v>1.6090836450000019</v>
      </c>
      <c r="F39" s="7">
        <v>1.872682105000002</v>
      </c>
      <c r="G39" s="7">
        <v>2.4625286200000027</v>
      </c>
      <c r="H39" s="7">
        <v>2.2916987550000028</v>
      </c>
      <c r="I39" s="7">
        <v>1.917806975000002</v>
      </c>
      <c r="J39" s="7">
        <v>0.97018470500000098</v>
      </c>
      <c r="K39" s="7">
        <v>0.43767912300000023</v>
      </c>
      <c r="L39" s="7">
        <v>0.27392162800000019</v>
      </c>
      <c r="M39" s="7">
        <v>0.49127248500000037</v>
      </c>
      <c r="N39" s="7">
        <v>0.39897280600000029</v>
      </c>
      <c r="O39" s="1"/>
    </row>
    <row r="40" spans="1:15" ht="14.1" x14ac:dyDescent="0.5">
      <c r="A40" s="11" t="s">
        <v>3</v>
      </c>
      <c r="B40" s="1"/>
      <c r="C40" s="7">
        <v>20.6262875</v>
      </c>
      <c r="D40" s="7">
        <v>15.674199999999999</v>
      </c>
      <c r="E40" s="7">
        <v>18.134535</v>
      </c>
      <c r="F40" s="7">
        <v>82.790350000000004</v>
      </c>
      <c r="G40" s="7">
        <v>76.9405</v>
      </c>
      <c r="H40" s="7">
        <v>76.147300000000001</v>
      </c>
      <c r="I40" s="7">
        <v>77.138800000000003</v>
      </c>
      <c r="J40" s="7">
        <v>74.667124999999999</v>
      </c>
      <c r="K40" s="7">
        <v>12.492900000000001</v>
      </c>
      <c r="L40" s="7">
        <v>15.963150000000001</v>
      </c>
      <c r="M40" s="7">
        <v>17.995725</v>
      </c>
      <c r="N40" s="7">
        <v>16.6572</v>
      </c>
      <c r="O40" s="1"/>
    </row>
    <row r="41" spans="1:15" ht="14.1" x14ac:dyDescent="0.5">
      <c r="A41" s="11" t="s">
        <v>11</v>
      </c>
      <c r="B41" s="1"/>
      <c r="C41" s="6">
        <v>13</v>
      </c>
      <c r="D41" s="1">
        <v>1</v>
      </c>
      <c r="E41" s="1">
        <v>0</v>
      </c>
      <c r="F41" s="1">
        <v>70</v>
      </c>
      <c r="G41" s="1">
        <v>70</v>
      </c>
      <c r="H41" s="1">
        <v>70</v>
      </c>
      <c r="I41" s="1">
        <v>70</v>
      </c>
      <c r="J41" s="1">
        <v>65</v>
      </c>
      <c r="K41" s="1">
        <v>0</v>
      </c>
      <c r="L41" s="1">
        <v>0</v>
      </c>
      <c r="M41" s="1">
        <v>0</v>
      </c>
      <c r="N41" s="1">
        <v>0</v>
      </c>
      <c r="O41" s="1"/>
    </row>
    <row r="42" spans="1:15" ht="14.1" x14ac:dyDescent="0.5">
      <c r="A42" s="11" t="s">
        <v>12</v>
      </c>
      <c r="B42" s="8">
        <v>232</v>
      </c>
      <c r="C42" s="6">
        <v>231.99999999999997</v>
      </c>
      <c r="D42" s="6">
        <v>231.99999999999997</v>
      </c>
      <c r="E42" s="6">
        <v>237.9</v>
      </c>
      <c r="F42" s="6">
        <v>237.9</v>
      </c>
      <c r="G42" s="6">
        <v>237.90000000000003</v>
      </c>
      <c r="H42" s="6">
        <v>237.90000000000003</v>
      </c>
      <c r="I42" s="6">
        <v>237.9</v>
      </c>
      <c r="J42" s="6">
        <v>205.7</v>
      </c>
      <c r="K42" s="6">
        <v>205.7</v>
      </c>
      <c r="L42" s="6">
        <v>205.69999999999996</v>
      </c>
      <c r="M42" s="6">
        <v>205.7</v>
      </c>
      <c r="N42" s="6">
        <v>205.70000000000002</v>
      </c>
      <c r="O42" s="1"/>
    </row>
    <row r="43" spans="1:15" ht="14.1" x14ac:dyDescent="0.5">
      <c r="A43" s="11" t="s">
        <v>8</v>
      </c>
      <c r="B43" s="1"/>
      <c r="C43" s="6">
        <v>1207</v>
      </c>
      <c r="D43" s="1">
        <v>1207</v>
      </c>
      <c r="E43" s="1">
        <v>1209</v>
      </c>
      <c r="F43" s="1">
        <v>1209</v>
      </c>
      <c r="G43" s="1">
        <v>1209</v>
      </c>
      <c r="H43" s="1">
        <v>1209</v>
      </c>
      <c r="I43" s="1">
        <v>1209</v>
      </c>
      <c r="J43" s="1">
        <v>1199</v>
      </c>
      <c r="K43" s="1">
        <v>1199</v>
      </c>
      <c r="L43" s="1">
        <v>1199</v>
      </c>
      <c r="M43" s="1">
        <v>1199</v>
      </c>
      <c r="N43" s="1">
        <v>1199</v>
      </c>
      <c r="O43" s="7"/>
    </row>
    <row r="44" spans="1:15" ht="14.1" x14ac:dyDescent="0.5">
      <c r="A44" s="11" t="s">
        <v>9</v>
      </c>
      <c r="C44" s="6">
        <v>3173.7350000000038</v>
      </c>
      <c r="D44" s="6">
        <v>3173.7350000000038</v>
      </c>
      <c r="E44" s="6">
        <v>3173.7350000000038</v>
      </c>
      <c r="F44" s="6">
        <v>3223.2050000000036</v>
      </c>
      <c r="G44" s="6">
        <v>3223.2050000000036</v>
      </c>
      <c r="H44" s="6">
        <v>3223.2050000000036</v>
      </c>
      <c r="I44" s="6">
        <v>3223.2050000000036</v>
      </c>
      <c r="J44" s="6">
        <v>3223.2050000000036</v>
      </c>
      <c r="K44" s="6">
        <v>2977.4090000000019</v>
      </c>
      <c r="L44" s="6">
        <v>2977.4090000000019</v>
      </c>
      <c r="M44" s="6">
        <v>2977.4090000000019</v>
      </c>
      <c r="N44" s="6">
        <v>2977.4090000000019</v>
      </c>
      <c r="O44" s="7"/>
    </row>
    <row r="45" spans="1:15" ht="14.1" x14ac:dyDescent="0.5">
      <c r="A45" s="11" t="s">
        <v>13</v>
      </c>
      <c r="B45" s="1"/>
      <c r="C45" s="6">
        <v>286.29032258064518</v>
      </c>
      <c r="D45" s="6">
        <v>246.66666666666666</v>
      </c>
      <c r="E45" s="6">
        <v>295</v>
      </c>
      <c r="F45" s="6">
        <v>215</v>
      </c>
      <c r="G45" s="6">
        <v>112.90322580645162</v>
      </c>
      <c r="H45" s="6">
        <v>100</v>
      </c>
      <c r="I45" s="6">
        <v>120</v>
      </c>
      <c r="J45" s="6">
        <v>157.25806451612902</v>
      </c>
      <c r="K45" s="6">
        <v>210</v>
      </c>
      <c r="L45" s="6">
        <v>259.67741935483872</v>
      </c>
      <c r="M45" s="6">
        <v>292.74193548387098</v>
      </c>
      <c r="N45" s="6">
        <v>300</v>
      </c>
      <c r="O45" s="7"/>
    </row>
    <row r="46" spans="1:15" ht="14.1" x14ac:dyDescent="0.5">
      <c r="A46" s="11" t="s">
        <v>14</v>
      </c>
      <c r="B46" s="1"/>
      <c r="C46" s="7">
        <v>7.626287500000001</v>
      </c>
      <c r="D46" s="7">
        <v>14.674199999999999</v>
      </c>
      <c r="E46" s="7">
        <v>18.134535</v>
      </c>
      <c r="F46" s="7">
        <v>12.79035</v>
      </c>
      <c r="G46" s="7">
        <v>6.9405000000000001</v>
      </c>
      <c r="H46" s="7">
        <v>6.1472999999999995</v>
      </c>
      <c r="I46" s="7">
        <v>7.1387999999999998</v>
      </c>
      <c r="J46" s="7">
        <v>9.6671250000000004</v>
      </c>
      <c r="K46" s="7">
        <v>12.492900000000001</v>
      </c>
      <c r="L46" s="7">
        <v>15.963150000000001</v>
      </c>
      <c r="M46" s="7">
        <v>17.995725</v>
      </c>
      <c r="N46" s="7">
        <v>16.6572</v>
      </c>
      <c r="O46" s="1"/>
    </row>
    <row r="47" spans="1:15" ht="14.1" x14ac:dyDescent="0.5">
      <c r="A47" s="11" t="s">
        <v>15</v>
      </c>
      <c r="B47" s="1"/>
      <c r="C47" s="6">
        <v>200</v>
      </c>
      <c r="D47" s="1">
        <v>200</v>
      </c>
      <c r="E47" s="1">
        <v>200</v>
      </c>
      <c r="F47" s="1">
        <v>200</v>
      </c>
      <c r="G47" s="1">
        <v>200</v>
      </c>
      <c r="H47" s="1">
        <v>150</v>
      </c>
      <c r="I47" s="1">
        <v>150</v>
      </c>
      <c r="J47" s="1">
        <v>150</v>
      </c>
      <c r="K47" s="1">
        <v>150</v>
      </c>
      <c r="L47" s="1">
        <v>200</v>
      </c>
      <c r="M47" s="1">
        <v>200</v>
      </c>
      <c r="N47" s="1">
        <v>200</v>
      </c>
      <c r="O47" s="1"/>
    </row>
    <row r="48" spans="1:15" ht="14.1" x14ac:dyDescent="0.5">
      <c r="A48" s="1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4.1" x14ac:dyDescent="0.5">
      <c r="A49" s="1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4.1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4.1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4.1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4.1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4.1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4.1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4.1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4.1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4.1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4.1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4.1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4.1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4.1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4.1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4.1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4.1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4.1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4.1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4.1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4.1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" x14ac:dyDescent="0.5">
      <c r="A70" s="1"/>
      <c r="B70" s="2"/>
      <c r="C70" s="3">
        <v>45717</v>
      </c>
      <c r="D70" s="3">
        <v>45748</v>
      </c>
      <c r="E70" s="3">
        <v>45778</v>
      </c>
      <c r="F70" s="3">
        <v>45809</v>
      </c>
      <c r="G70" s="3">
        <v>45839</v>
      </c>
      <c r="H70" s="3">
        <v>45870</v>
      </c>
      <c r="I70" s="3">
        <v>45901</v>
      </c>
      <c r="J70" s="3">
        <v>45931</v>
      </c>
      <c r="K70" s="3">
        <v>45962</v>
      </c>
      <c r="L70" s="3">
        <v>45992</v>
      </c>
      <c r="M70" s="3">
        <v>46023</v>
      </c>
      <c r="N70" s="3">
        <v>46054</v>
      </c>
      <c r="O70" s="1"/>
    </row>
    <row r="71" spans="1:15" ht="15" x14ac:dyDescent="0.5">
      <c r="A71" s="4" t="s">
        <v>16</v>
      </c>
      <c r="B71" s="1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"/>
    </row>
    <row r="72" spans="1:15" ht="14.1" x14ac:dyDescent="0.5">
      <c r="A72" s="11" t="s">
        <v>1</v>
      </c>
      <c r="B72" s="1"/>
      <c r="C72" s="6">
        <v>411.66666666666669</v>
      </c>
      <c r="D72" s="1">
        <v>510</v>
      </c>
      <c r="E72" s="6">
        <v>385</v>
      </c>
      <c r="F72" s="6">
        <v>245</v>
      </c>
      <c r="G72" s="6">
        <v>190</v>
      </c>
      <c r="H72" s="6">
        <v>146</v>
      </c>
      <c r="I72" s="1">
        <v>144</v>
      </c>
      <c r="J72" s="1">
        <v>220</v>
      </c>
      <c r="K72" s="1">
        <v>250</v>
      </c>
      <c r="L72" s="1">
        <v>320</v>
      </c>
      <c r="M72" s="1">
        <v>320</v>
      </c>
      <c r="N72" s="1">
        <v>380</v>
      </c>
      <c r="O72" s="1"/>
    </row>
    <row r="73" spans="1:15" ht="14.1" x14ac:dyDescent="0.5">
      <c r="A73" s="11" t="s">
        <v>2</v>
      </c>
      <c r="B73" s="1"/>
      <c r="C73" s="7">
        <v>73.382207580666829</v>
      </c>
      <c r="D73" s="7">
        <v>10.627815971999999</v>
      </c>
      <c r="E73" s="7">
        <v>14.022859500000001</v>
      </c>
      <c r="F73" s="7">
        <v>15.778395947999989</v>
      </c>
      <c r="G73" s="7">
        <v>19.249178640000011</v>
      </c>
      <c r="H73" s="7">
        <v>15.758552808000003</v>
      </c>
      <c r="I73" s="7">
        <v>11.623658199999998</v>
      </c>
      <c r="J73" s="7">
        <v>5.5034936319999987</v>
      </c>
      <c r="K73" s="7">
        <v>2.5831031100000006</v>
      </c>
      <c r="L73" s="7">
        <v>1.6259362399999999</v>
      </c>
      <c r="M73" s="7">
        <v>3.0337800899999992</v>
      </c>
      <c r="N73" s="7">
        <v>2.5471725000000003</v>
      </c>
      <c r="O73" s="1"/>
    </row>
    <row r="74" spans="1:15" ht="14.1" x14ac:dyDescent="0.5">
      <c r="A74" s="11" t="s">
        <v>17</v>
      </c>
      <c r="B74" s="1"/>
      <c r="C74" s="6">
        <v>200.10640000000001</v>
      </c>
      <c r="D74" s="6">
        <v>474.92</v>
      </c>
      <c r="E74" s="6">
        <v>473.34210000000002</v>
      </c>
      <c r="F74" s="6">
        <v>661.72699999999998</v>
      </c>
      <c r="G74" s="6">
        <v>790.62199999999996</v>
      </c>
      <c r="H74" s="6">
        <v>636.93949999999995</v>
      </c>
      <c r="I74" s="6">
        <v>346.43</v>
      </c>
      <c r="J74" s="6">
        <v>334.5745</v>
      </c>
      <c r="K74" s="6">
        <v>237.96</v>
      </c>
      <c r="L74" s="6">
        <v>199.78725</v>
      </c>
      <c r="M74" s="6">
        <v>199.78725</v>
      </c>
      <c r="N74" s="6">
        <v>180.453</v>
      </c>
      <c r="O74" s="1"/>
    </row>
    <row r="75" spans="1:15" ht="14.1" x14ac:dyDescent="0.5">
      <c r="A75" s="11" t="s">
        <v>18</v>
      </c>
      <c r="B75" s="1"/>
      <c r="C75" s="6">
        <v>8000</v>
      </c>
      <c r="D75" s="1">
        <v>8000</v>
      </c>
      <c r="E75" s="1">
        <v>7700</v>
      </c>
      <c r="F75" s="1">
        <v>12300</v>
      </c>
      <c r="G75" s="1">
        <v>14000</v>
      </c>
      <c r="H75" s="1">
        <v>11500</v>
      </c>
      <c r="I75" s="1">
        <v>7000</v>
      </c>
      <c r="J75" s="1">
        <v>6500</v>
      </c>
      <c r="K75" s="1">
        <v>4000</v>
      </c>
      <c r="L75" s="1">
        <v>3250</v>
      </c>
      <c r="M75" s="1">
        <v>3250</v>
      </c>
      <c r="N75" s="1">
        <v>3250</v>
      </c>
      <c r="O75" s="1"/>
    </row>
    <row r="76" spans="1:15" ht="14.1" x14ac:dyDescent="0.5">
      <c r="A76" s="11" t="s">
        <v>19</v>
      </c>
      <c r="B76" s="1"/>
      <c r="C76" s="6">
        <v>213.10640000000001</v>
      </c>
      <c r="D76" s="6">
        <v>475.92</v>
      </c>
      <c r="E76" s="6">
        <v>473.34210000000002</v>
      </c>
      <c r="F76" s="6">
        <v>731.72699999999998</v>
      </c>
      <c r="G76" s="6">
        <v>860.62199999999996</v>
      </c>
      <c r="H76" s="6">
        <v>706.93949999999995</v>
      </c>
      <c r="I76" s="6">
        <v>416.43</v>
      </c>
      <c r="J76" s="6">
        <v>399.5745</v>
      </c>
      <c r="K76" s="6">
        <v>237.96</v>
      </c>
      <c r="L76" s="6">
        <v>199.78725</v>
      </c>
      <c r="M76" s="6">
        <v>199.78725</v>
      </c>
      <c r="N76" s="6">
        <v>180.453</v>
      </c>
      <c r="O76" s="1"/>
    </row>
    <row r="77" spans="1:15" ht="14.1" x14ac:dyDescent="0.5">
      <c r="A77" s="11" t="s">
        <v>20</v>
      </c>
      <c r="B77" s="9"/>
      <c r="C77" s="6">
        <v>8000</v>
      </c>
      <c r="D77" s="6">
        <v>8000</v>
      </c>
      <c r="E77" s="6">
        <v>7700</v>
      </c>
      <c r="F77" s="6">
        <v>12300</v>
      </c>
      <c r="G77" s="6">
        <v>14000</v>
      </c>
      <c r="H77" s="6">
        <v>11500</v>
      </c>
      <c r="I77" s="6">
        <v>7000</v>
      </c>
      <c r="J77" s="6">
        <v>6500</v>
      </c>
      <c r="K77" s="6">
        <v>4000</v>
      </c>
      <c r="L77" s="6">
        <v>3250</v>
      </c>
      <c r="M77" s="6">
        <v>3250</v>
      </c>
      <c r="N77" s="6">
        <v>3250</v>
      </c>
      <c r="O77" s="1"/>
    </row>
    <row r="78" spans="1:15" ht="14.1" x14ac:dyDescent="0.5">
      <c r="A78" s="11" t="s">
        <v>12</v>
      </c>
      <c r="B78" s="13">
        <v>3906</v>
      </c>
      <c r="C78" s="6">
        <v>4044.1780590860003</v>
      </c>
      <c r="D78" s="6">
        <v>4068.6302431139998</v>
      </c>
      <c r="E78" s="6">
        <v>3966.2652836139996</v>
      </c>
      <c r="F78" s="6">
        <v>3533.7598876659999</v>
      </c>
      <c r="G78" s="6">
        <v>2913.888709026</v>
      </c>
      <c r="H78" s="6">
        <v>2407.1906562180002</v>
      </c>
      <c r="I78" s="6">
        <v>2193.1369980180002</v>
      </c>
      <c r="J78" s="6">
        <v>2073.0590043860002</v>
      </c>
      <c r="K78" s="6">
        <v>2082.515901276</v>
      </c>
      <c r="L78" s="6">
        <v>2201.1027150360001</v>
      </c>
      <c r="M78" s="6">
        <v>2318.281684946</v>
      </c>
      <c r="N78" s="6">
        <v>2515.2815124459999</v>
      </c>
      <c r="O78" s="1"/>
    </row>
    <row r="79" spans="1:15" ht="14.1" x14ac:dyDescent="0.5">
      <c r="A79" s="11" t="s">
        <v>8</v>
      </c>
      <c r="B79" s="1"/>
      <c r="C79" s="6">
        <v>1049</v>
      </c>
      <c r="D79" s="6">
        <v>1050</v>
      </c>
      <c r="E79" s="6">
        <v>1046</v>
      </c>
      <c r="F79" s="6">
        <v>1030</v>
      </c>
      <c r="G79" s="6">
        <v>1004</v>
      </c>
      <c r="H79" s="6">
        <v>980</v>
      </c>
      <c r="I79" s="6">
        <v>968</v>
      </c>
      <c r="J79" s="6">
        <v>961</v>
      </c>
      <c r="K79" s="6">
        <v>962</v>
      </c>
      <c r="L79" s="6">
        <v>969</v>
      </c>
      <c r="M79" s="6">
        <v>975</v>
      </c>
      <c r="N79" s="6">
        <v>985</v>
      </c>
      <c r="O79" s="1"/>
    </row>
    <row r="80" spans="1:15" ht="14.1" x14ac:dyDescent="0.5">
      <c r="A80" s="11" t="s">
        <v>9</v>
      </c>
      <c r="B80" s="1"/>
      <c r="C80" s="6">
        <v>25316.286000000011</v>
      </c>
      <c r="D80" s="6">
        <v>27533.201999999997</v>
      </c>
      <c r="E80" s="6">
        <v>27658.5</v>
      </c>
      <c r="F80" s="6">
        <v>27157.307999999983</v>
      </c>
      <c r="G80" s="6">
        <v>25195.260000000009</v>
      </c>
      <c r="H80" s="6">
        <v>22163.928000000004</v>
      </c>
      <c r="I80" s="6">
        <v>19535.559999999998</v>
      </c>
      <c r="J80" s="6">
        <v>18284.031999999996</v>
      </c>
      <c r="K80" s="6">
        <v>17572.130000000005</v>
      </c>
      <c r="L80" s="6">
        <v>17673.22</v>
      </c>
      <c r="M80" s="6">
        <v>18386.545999999995</v>
      </c>
      <c r="N80" s="6">
        <v>19008.75</v>
      </c>
      <c r="O80" s="1"/>
    </row>
    <row r="81" spans="1:15" ht="14.1" x14ac:dyDescent="0.5">
      <c r="A81" s="11" t="s">
        <v>21</v>
      </c>
      <c r="B81" s="1"/>
      <c r="C81" s="6">
        <v>4500</v>
      </c>
      <c r="D81" s="1">
        <v>4000</v>
      </c>
      <c r="E81" s="1">
        <v>4000</v>
      </c>
      <c r="F81" s="1">
        <v>4000</v>
      </c>
      <c r="G81" s="1">
        <v>4000</v>
      </c>
      <c r="H81" s="1">
        <v>4000</v>
      </c>
      <c r="I81" s="1">
        <v>4000</v>
      </c>
      <c r="J81" s="1">
        <v>4000</v>
      </c>
      <c r="K81" s="1">
        <v>4000</v>
      </c>
      <c r="L81" s="1">
        <v>4000</v>
      </c>
      <c r="M81" s="1">
        <v>4500</v>
      </c>
      <c r="N81" s="1">
        <v>4500</v>
      </c>
      <c r="O81" s="1"/>
    </row>
    <row r="82" spans="1:15" ht="14.1" x14ac:dyDescent="0.5">
      <c r="A82" s="11" t="s">
        <v>22</v>
      </c>
      <c r="B82" s="1"/>
      <c r="C82" s="6">
        <v>7054</v>
      </c>
      <c r="D82" s="6">
        <v>-1786</v>
      </c>
      <c r="E82" s="6">
        <v>-3436</v>
      </c>
      <c r="F82" s="6">
        <v>-5000</v>
      </c>
      <c r="G82" s="6">
        <v>-5900</v>
      </c>
      <c r="H82" s="6">
        <v>-4411</v>
      </c>
      <c r="I82" s="6">
        <v>-1975</v>
      </c>
      <c r="J82" s="6">
        <v>-770.93055560392997</v>
      </c>
      <c r="K82" s="6">
        <v>-73.11532525840876</v>
      </c>
      <c r="L82" s="6">
        <v>740</v>
      </c>
      <c r="M82" s="6">
        <v>2323</v>
      </c>
      <c r="N82" s="6">
        <v>1842</v>
      </c>
      <c r="O82" s="1"/>
    </row>
    <row r="83" spans="1:15" ht="14.1" x14ac:dyDescent="0.5">
      <c r="A83" s="11" t="s">
        <v>23</v>
      </c>
      <c r="B83" s="14"/>
      <c r="C83" s="6">
        <v>15340.290322580646</v>
      </c>
      <c r="D83" s="6">
        <v>6460.666666666667</v>
      </c>
      <c r="E83" s="6">
        <v>4559</v>
      </c>
      <c r="F83" s="6">
        <v>7515</v>
      </c>
      <c r="G83" s="6">
        <v>8212.9032258064508</v>
      </c>
      <c r="H83" s="6">
        <v>7189</v>
      </c>
      <c r="I83" s="6">
        <v>5145</v>
      </c>
      <c r="J83" s="6">
        <v>5886.3275089121989</v>
      </c>
      <c r="K83" s="6">
        <v>4136.8846747415919</v>
      </c>
      <c r="L83" s="6">
        <v>4249.677419354839</v>
      </c>
      <c r="M83" s="6">
        <v>5865.7419354838712</v>
      </c>
      <c r="N83" s="6">
        <v>5392</v>
      </c>
      <c r="O83" s="1"/>
    </row>
    <row r="84" spans="1:15" ht="14.1" x14ac:dyDescent="0.5">
      <c r="A84" s="11" t="s">
        <v>24</v>
      </c>
      <c r="B84" s="1"/>
      <c r="C84" s="6">
        <v>1950</v>
      </c>
      <c r="D84" s="1">
        <v>5500</v>
      </c>
      <c r="E84" s="1">
        <v>5500</v>
      </c>
      <c r="F84" s="1">
        <v>5500</v>
      </c>
      <c r="G84" s="1">
        <v>3250</v>
      </c>
      <c r="H84" s="1">
        <v>3250</v>
      </c>
      <c r="I84" s="1">
        <v>3250</v>
      </c>
      <c r="J84" s="1">
        <v>3250</v>
      </c>
      <c r="K84" s="1">
        <v>6000</v>
      </c>
      <c r="L84" s="1">
        <v>5500</v>
      </c>
      <c r="M84" s="1">
        <v>5500</v>
      </c>
      <c r="N84" s="1">
        <v>3750</v>
      </c>
      <c r="O84" s="1"/>
    </row>
    <row r="85" spans="1:15" ht="14.1" x14ac:dyDescent="0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4.1" x14ac:dyDescent="0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4.1" x14ac:dyDescent="0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4.1" x14ac:dyDescent="0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4.1" x14ac:dyDescent="0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4.1" x14ac:dyDescent="0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4.1" x14ac:dyDescent="0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4.1" x14ac:dyDescent="0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4.1" x14ac:dyDescent="0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4.1" x14ac:dyDescent="0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4.1" x14ac:dyDescent="0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4.1" x14ac:dyDescent="0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4.1" x14ac:dyDescent="0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4.1" x14ac:dyDescent="0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4.1" x14ac:dyDescent="0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4.1" x14ac:dyDescent="0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4.1" x14ac:dyDescent="0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4.1" x14ac:dyDescent="0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4.1" x14ac:dyDescent="0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4.1" x14ac:dyDescent="0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4.1" x14ac:dyDescent="0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4.1" x14ac:dyDescent="0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4.1" x14ac:dyDescent="0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4.1" x14ac:dyDescent="0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4.1" x14ac:dyDescent="0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4.1" x14ac:dyDescent="0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" x14ac:dyDescent="0.5">
      <c r="A111" s="1"/>
      <c r="B111" s="2"/>
      <c r="C111" s="3">
        <v>45717</v>
      </c>
      <c r="D111" s="3">
        <v>45748</v>
      </c>
      <c r="E111" s="3">
        <v>45778</v>
      </c>
      <c r="F111" s="3">
        <v>45809</v>
      </c>
      <c r="G111" s="3">
        <v>45839</v>
      </c>
      <c r="H111" s="3">
        <v>45870</v>
      </c>
      <c r="I111" s="3">
        <v>45901</v>
      </c>
      <c r="J111" s="3">
        <v>45931</v>
      </c>
      <c r="K111" s="3">
        <v>45962</v>
      </c>
      <c r="L111" s="3">
        <v>45992</v>
      </c>
      <c r="M111" s="3">
        <v>46023</v>
      </c>
      <c r="N111" s="3">
        <v>46054</v>
      </c>
      <c r="O111" s="1"/>
    </row>
    <row r="112" spans="1:15" ht="15" x14ac:dyDescent="0.5">
      <c r="A112" s="4" t="s">
        <v>25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4.1" x14ac:dyDescent="0.5">
      <c r="A113" s="11" t="s">
        <v>1</v>
      </c>
      <c r="B113" s="1"/>
      <c r="C113" s="6">
        <v>539</v>
      </c>
      <c r="D113" s="6">
        <v>353</v>
      </c>
      <c r="E113" s="6">
        <v>301</v>
      </c>
      <c r="F113" s="6">
        <v>201</v>
      </c>
      <c r="G113" s="6">
        <v>110</v>
      </c>
      <c r="H113" s="6">
        <v>84</v>
      </c>
      <c r="I113" s="6">
        <v>100</v>
      </c>
      <c r="J113" s="6">
        <v>120</v>
      </c>
      <c r="K113" s="6">
        <v>120</v>
      </c>
      <c r="L113" s="6">
        <v>160</v>
      </c>
      <c r="M113" s="6">
        <v>170</v>
      </c>
      <c r="N113" s="6">
        <v>200</v>
      </c>
      <c r="O113" s="1"/>
    </row>
    <row r="114" spans="1:15" ht="14.1" x14ac:dyDescent="0.5">
      <c r="A114" s="11" t="s">
        <v>2</v>
      </c>
      <c r="B114" s="1"/>
      <c r="C114" s="7">
        <v>2.7097851032811349</v>
      </c>
      <c r="D114" s="7">
        <v>5.4067047377004016</v>
      </c>
      <c r="E114" s="7">
        <v>6.9382991672224978</v>
      </c>
      <c r="F114" s="7">
        <v>7.89811889601103</v>
      </c>
      <c r="G114" s="7">
        <v>10.042787679560846</v>
      </c>
      <c r="H114" s="7">
        <v>8.503564863622616</v>
      </c>
      <c r="I114" s="7">
        <v>6.409937042128357</v>
      </c>
      <c r="J114" s="7">
        <v>3.0036815040407761</v>
      </c>
      <c r="K114" s="7">
        <v>1.3848872180042551</v>
      </c>
      <c r="L114" s="7">
        <v>0.82165252565287561</v>
      </c>
      <c r="M114" s="7">
        <v>1.4503519300512475</v>
      </c>
      <c r="N114" s="7">
        <v>1.1872412847127571</v>
      </c>
      <c r="O114" s="1"/>
    </row>
    <row r="115" spans="1:15" ht="14.1" x14ac:dyDescent="0.5">
      <c r="A115" s="11" t="s">
        <v>26</v>
      </c>
      <c r="B115" s="1"/>
      <c r="C115" s="6">
        <v>418.01639999999998</v>
      </c>
      <c r="D115" s="6">
        <v>444.8125</v>
      </c>
      <c r="E115" s="6">
        <v>321.3879</v>
      </c>
      <c r="F115" s="6">
        <v>323.77600000000001</v>
      </c>
      <c r="G115" s="6">
        <v>447.1866</v>
      </c>
      <c r="H115" s="6">
        <v>404.1866</v>
      </c>
      <c r="I115" s="6">
        <v>301.858</v>
      </c>
      <c r="J115" s="6">
        <v>261.12440000000004</v>
      </c>
      <c r="K115" s="6">
        <v>235.10750000000002</v>
      </c>
      <c r="L115" s="6">
        <v>203.57774999999998</v>
      </c>
      <c r="M115" s="6">
        <v>150.57774999999998</v>
      </c>
      <c r="N115" s="6">
        <v>97.167000000000002</v>
      </c>
      <c r="O115" s="1"/>
    </row>
    <row r="116" spans="1:15" ht="14.1" x14ac:dyDescent="0.5">
      <c r="A116" s="11" t="s">
        <v>27</v>
      </c>
      <c r="B116" s="1">
        <v>2866</v>
      </c>
      <c r="C116" s="6">
        <v>2984.2738148967187</v>
      </c>
      <c r="D116" s="6">
        <v>2887.0546101590185</v>
      </c>
      <c r="E116" s="6">
        <v>2859.728410991796</v>
      </c>
      <c r="F116" s="6">
        <v>2729.0542920957851</v>
      </c>
      <c r="G116" s="6">
        <v>2381.8249044162244</v>
      </c>
      <c r="H116" s="6">
        <v>2053.1347395526018</v>
      </c>
      <c r="I116" s="6">
        <v>1844.8668025104735</v>
      </c>
      <c r="J116" s="6">
        <v>1700.7387210064326</v>
      </c>
      <c r="K116" s="6">
        <v>1584.2463337884283</v>
      </c>
      <c r="L116" s="6">
        <v>1539.8469312627756</v>
      </c>
      <c r="M116" s="6">
        <v>1557.8188293327244</v>
      </c>
      <c r="N116" s="6">
        <v>1659.4645880480116</v>
      </c>
      <c r="O116" s="1"/>
    </row>
    <row r="117" spans="1:15" ht="14.1" x14ac:dyDescent="0.5">
      <c r="A117" s="11" t="s">
        <v>8</v>
      </c>
      <c r="B117" s="1"/>
      <c r="C117" s="6">
        <v>863.17374554797937</v>
      </c>
      <c r="D117" s="6">
        <v>856.12190880687035</v>
      </c>
      <c r="E117" s="6">
        <v>854.11236401478902</v>
      </c>
      <c r="F117" s="6">
        <v>844.0577216266837</v>
      </c>
      <c r="G117" s="6">
        <v>816.72637847446117</v>
      </c>
      <c r="H117" s="6">
        <v>787.85584976301107</v>
      </c>
      <c r="I117" s="6">
        <v>767.68387525087337</v>
      </c>
      <c r="J117" s="6">
        <v>752.94661120279511</v>
      </c>
      <c r="K117" s="6">
        <v>739.79430974435502</v>
      </c>
      <c r="L117" s="6">
        <v>735.0788979096169</v>
      </c>
      <c r="M117" s="6">
        <v>737.15485328915133</v>
      </c>
      <c r="N117" s="6">
        <v>748.10669255403229</v>
      </c>
      <c r="O117" s="1"/>
    </row>
    <row r="118" spans="1:15" ht="14.1" x14ac:dyDescent="0.5">
      <c r="A118" s="11" t="s">
        <v>9</v>
      </c>
      <c r="B118" s="1"/>
      <c r="C118" s="6">
        <v>13617.010569251934</v>
      </c>
      <c r="D118" s="6">
        <v>14007.007092488087</v>
      </c>
      <c r="E118" s="6">
        <v>13685.008219373763</v>
      </c>
      <c r="F118" s="6">
        <v>13594.008426869244</v>
      </c>
      <c r="G118" s="6">
        <v>13145.010051781212</v>
      </c>
      <c r="H118" s="6">
        <v>11960.006840538139</v>
      </c>
      <c r="I118" s="6">
        <v>10773.0034321485</v>
      </c>
      <c r="J118" s="6">
        <v>9979.0083190723453</v>
      </c>
      <c r="K118" s="6">
        <v>9421.0014830221444</v>
      </c>
      <c r="L118" s="6">
        <v>8931.0057136182131</v>
      </c>
      <c r="M118" s="6">
        <v>8790.011697280288</v>
      </c>
      <c r="N118" s="6">
        <v>8860.0095874086346</v>
      </c>
      <c r="O118" s="1"/>
    </row>
    <row r="119" spans="1:15" ht="14.1" x14ac:dyDescent="0.5">
      <c r="A119" s="11" t="s">
        <v>28</v>
      </c>
      <c r="B119" s="1"/>
      <c r="C119" s="6">
        <v>6800</v>
      </c>
      <c r="D119" s="6">
        <v>6250</v>
      </c>
      <c r="E119" s="6">
        <v>2300</v>
      </c>
      <c r="F119" s="6">
        <v>2400</v>
      </c>
      <c r="G119" s="6">
        <v>4200</v>
      </c>
      <c r="H119" s="6">
        <v>4200</v>
      </c>
      <c r="I119" s="6">
        <v>4200</v>
      </c>
      <c r="J119" s="6">
        <v>2800</v>
      </c>
      <c r="K119" s="6">
        <v>1750</v>
      </c>
      <c r="L119" s="6">
        <v>1750</v>
      </c>
      <c r="M119" s="6">
        <v>1750</v>
      </c>
      <c r="N119" s="6">
        <v>1750</v>
      </c>
      <c r="O119" s="1"/>
    </row>
    <row r="120" spans="1:15" ht="14.1" x14ac:dyDescent="0.5">
      <c r="A120" s="11" t="s">
        <v>29</v>
      </c>
      <c r="B120" s="1" t="s">
        <v>30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1"/>
    </row>
    <row r="121" spans="1:15" ht="14.1" x14ac:dyDescent="0.5">
      <c r="A121" s="11" t="s">
        <v>31</v>
      </c>
      <c r="B121" s="1" t="s">
        <v>32</v>
      </c>
      <c r="C121" s="6">
        <v>418.01639999999998</v>
      </c>
      <c r="D121" s="6">
        <v>371.8125</v>
      </c>
      <c r="E121" s="6">
        <v>141.3879</v>
      </c>
      <c r="F121" s="6">
        <v>142.77600000000001</v>
      </c>
      <c r="G121" s="6">
        <v>258.1866</v>
      </c>
      <c r="H121" s="6">
        <v>258.1866</v>
      </c>
      <c r="I121" s="6">
        <v>249.858</v>
      </c>
      <c r="J121" s="6">
        <v>172.12440000000001</v>
      </c>
      <c r="K121" s="6">
        <v>104.1075</v>
      </c>
      <c r="L121" s="6">
        <v>107.57774999999999</v>
      </c>
      <c r="M121" s="6">
        <v>107.57774999999999</v>
      </c>
      <c r="N121" s="6">
        <v>97.167000000000002</v>
      </c>
      <c r="O121" s="1"/>
    </row>
    <row r="122" spans="1:15" ht="14.1" x14ac:dyDescent="0.5">
      <c r="A122" s="11" t="s">
        <v>33</v>
      </c>
      <c r="B122" s="1" t="s">
        <v>34</v>
      </c>
      <c r="C122" s="6">
        <v>0</v>
      </c>
      <c r="D122" s="6">
        <v>73</v>
      </c>
      <c r="E122" s="6">
        <v>180</v>
      </c>
      <c r="F122" s="6">
        <v>181</v>
      </c>
      <c r="G122" s="6">
        <v>189</v>
      </c>
      <c r="H122" s="6">
        <v>146</v>
      </c>
      <c r="I122" s="6">
        <v>52</v>
      </c>
      <c r="J122" s="6">
        <v>89</v>
      </c>
      <c r="K122" s="6">
        <v>131</v>
      </c>
      <c r="L122" s="6">
        <v>96</v>
      </c>
      <c r="M122" s="6">
        <v>43</v>
      </c>
      <c r="N122" s="6">
        <v>0</v>
      </c>
      <c r="O122" s="1"/>
    </row>
    <row r="123" spans="1:15" ht="14.1" x14ac:dyDescent="0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4.1" x14ac:dyDescent="0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4.1" x14ac:dyDescent="0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4.1" x14ac:dyDescent="0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4.1" x14ac:dyDescent="0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4.1" x14ac:dyDescent="0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4.1" x14ac:dyDescent="0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4.1" x14ac:dyDescent="0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4.1" x14ac:dyDescent="0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4.1" x14ac:dyDescent="0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4.1" x14ac:dyDescent="0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4.1" x14ac:dyDescent="0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4.1" x14ac:dyDescent="0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4.1" x14ac:dyDescent="0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4.1" x14ac:dyDescent="0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4.1" x14ac:dyDescent="0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4.1" x14ac:dyDescent="0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4.1" x14ac:dyDescent="0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4.1" x14ac:dyDescent="0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4.1" x14ac:dyDescent="0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4.1" x14ac:dyDescent="0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4.1" x14ac:dyDescent="0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4.1" x14ac:dyDescent="0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4.1" x14ac:dyDescent="0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5" x14ac:dyDescent="0.5">
      <c r="A147" s="1"/>
      <c r="B147" s="2"/>
      <c r="C147" s="3">
        <v>45717</v>
      </c>
      <c r="D147" s="3">
        <v>45748</v>
      </c>
      <c r="E147" s="3">
        <v>45778</v>
      </c>
      <c r="F147" s="3">
        <v>45809</v>
      </c>
      <c r="G147" s="3">
        <v>45839</v>
      </c>
      <c r="H147" s="3">
        <v>45870</v>
      </c>
      <c r="I147" s="3">
        <v>45901</v>
      </c>
      <c r="J147" s="3">
        <v>45931</v>
      </c>
      <c r="K147" s="3">
        <v>45962</v>
      </c>
      <c r="L147" s="3">
        <v>45992</v>
      </c>
      <c r="M147" s="3">
        <v>46023</v>
      </c>
      <c r="N147" s="3">
        <v>46054</v>
      </c>
      <c r="O147" s="1"/>
    </row>
    <row r="148" spans="1:15" ht="15" x14ac:dyDescent="0.5">
      <c r="A148" s="4" t="s">
        <v>35</v>
      </c>
      <c r="B148" s="5">
        <v>45734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4.1" x14ac:dyDescent="0.5">
      <c r="A149" s="11" t="s">
        <v>1</v>
      </c>
      <c r="B149" s="1"/>
      <c r="C149" s="6">
        <v>196</v>
      </c>
      <c r="D149" s="1">
        <v>197</v>
      </c>
      <c r="E149" s="1">
        <v>171</v>
      </c>
      <c r="F149" s="1">
        <v>94</v>
      </c>
      <c r="G149" s="1">
        <v>77</v>
      </c>
      <c r="H149" s="1">
        <v>82</v>
      </c>
      <c r="I149" s="1">
        <v>73</v>
      </c>
      <c r="J149" s="1">
        <v>50</v>
      </c>
      <c r="K149" s="1">
        <v>50</v>
      </c>
      <c r="L149" s="1">
        <v>70</v>
      </c>
      <c r="M149" s="1">
        <v>70</v>
      </c>
      <c r="N149" s="1">
        <v>110</v>
      </c>
      <c r="O149" s="1"/>
    </row>
    <row r="150" spans="1:15" ht="14.1" x14ac:dyDescent="0.5">
      <c r="A150" s="11" t="s">
        <v>2</v>
      </c>
      <c r="B150" s="1"/>
      <c r="C150" s="7">
        <v>0.29736973333325523</v>
      </c>
      <c r="D150" s="7">
        <v>3.9765017479999996</v>
      </c>
      <c r="E150" s="7">
        <v>5.3364021359999994</v>
      </c>
      <c r="F150" s="7">
        <v>6.3327954199999992</v>
      </c>
      <c r="G150" s="7">
        <v>8.1557336159999991</v>
      </c>
      <c r="H150" s="7">
        <v>6.1730712179999987</v>
      </c>
      <c r="I150" s="7">
        <v>4.5642295299999986</v>
      </c>
      <c r="J150" s="7">
        <v>2.2013364099999992</v>
      </c>
      <c r="K150" s="7">
        <v>1.0436576639999999</v>
      </c>
      <c r="L150" s="7">
        <v>0.57520037599999996</v>
      </c>
      <c r="M150" s="7">
        <v>0.96234962999999951</v>
      </c>
      <c r="N150" s="7">
        <v>0.80961701200000002</v>
      </c>
      <c r="O150" s="1"/>
    </row>
    <row r="151" spans="1:15" ht="14.1" x14ac:dyDescent="0.5">
      <c r="A151" s="11" t="s">
        <v>3</v>
      </c>
      <c r="B151" s="1"/>
      <c r="C151" s="7">
        <v>90.593056666666655</v>
      </c>
      <c r="D151" s="7">
        <v>114.9075</v>
      </c>
      <c r="E151" s="7">
        <v>118.37774999999999</v>
      </c>
      <c r="F151" s="7">
        <v>158.08785</v>
      </c>
      <c r="G151" s="7">
        <v>289.71836100000024</v>
      </c>
      <c r="H151" s="7">
        <v>210.21359999999999</v>
      </c>
      <c r="I151" s="7">
        <v>106.03556000000007</v>
      </c>
      <c r="J151" s="7">
        <v>99.319894999999974</v>
      </c>
      <c r="K151" s="7">
        <v>95.541629999999927</v>
      </c>
      <c r="L151" s="7">
        <v>98.409500000000008</v>
      </c>
      <c r="M151" s="7">
        <v>83.041250000000005</v>
      </c>
      <c r="N151" s="7">
        <v>75.605000000000004</v>
      </c>
      <c r="O151" s="1"/>
    </row>
    <row r="152" spans="1:15" ht="14.1" x14ac:dyDescent="0.5">
      <c r="A152" s="11" t="s">
        <v>36</v>
      </c>
      <c r="B152" s="1"/>
      <c r="C152" s="6">
        <v>2.166666666666667</v>
      </c>
      <c r="D152" s="1">
        <v>9</v>
      </c>
      <c r="E152" s="1">
        <v>9</v>
      </c>
      <c r="F152" s="1">
        <v>9</v>
      </c>
      <c r="G152" s="1">
        <v>9</v>
      </c>
      <c r="H152" s="1">
        <v>11</v>
      </c>
      <c r="I152" s="1">
        <v>15</v>
      </c>
      <c r="J152" s="1">
        <v>6</v>
      </c>
      <c r="K152" s="1">
        <v>5</v>
      </c>
      <c r="L152" s="1">
        <v>5</v>
      </c>
      <c r="M152" s="1">
        <v>5</v>
      </c>
      <c r="N152" s="1">
        <v>5</v>
      </c>
      <c r="O152" s="1"/>
    </row>
    <row r="153" spans="1:15" ht="14.1" x14ac:dyDescent="0.5">
      <c r="A153" s="11" t="s">
        <v>37</v>
      </c>
      <c r="B153" s="1"/>
      <c r="C153" s="7">
        <v>0.52</v>
      </c>
      <c r="D153" s="1">
        <v>1.8</v>
      </c>
      <c r="E153" s="1">
        <v>1.8</v>
      </c>
      <c r="F153" s="1">
        <v>3</v>
      </c>
      <c r="G153" s="1">
        <v>4</v>
      </c>
      <c r="H153" s="1">
        <v>2.5</v>
      </c>
      <c r="I153" s="1">
        <v>1.8</v>
      </c>
      <c r="J153" s="1">
        <v>1</v>
      </c>
      <c r="K153" s="1">
        <v>1</v>
      </c>
      <c r="L153" s="1">
        <v>1.2</v>
      </c>
      <c r="M153" s="1">
        <v>1.2</v>
      </c>
      <c r="N153" s="1">
        <v>1.2</v>
      </c>
      <c r="O153" s="1"/>
    </row>
    <row r="154" spans="1:15" ht="14.1" x14ac:dyDescent="0.5">
      <c r="A154" s="11" t="s">
        <v>38</v>
      </c>
      <c r="B154" s="1"/>
      <c r="C154" s="6">
        <v>3300</v>
      </c>
      <c r="D154" s="1">
        <v>1750</v>
      </c>
      <c r="E154" s="1">
        <v>1750</v>
      </c>
      <c r="F154" s="1">
        <v>2400</v>
      </c>
      <c r="G154" s="1">
        <v>4500</v>
      </c>
      <c r="H154" s="1">
        <v>3200</v>
      </c>
      <c r="I154" s="1">
        <v>1500</v>
      </c>
      <c r="J154" s="1">
        <v>1500</v>
      </c>
      <c r="K154" s="1">
        <v>1500</v>
      </c>
      <c r="L154" s="1">
        <v>1500</v>
      </c>
      <c r="M154" s="1">
        <v>1250</v>
      </c>
      <c r="N154" s="1">
        <v>1250</v>
      </c>
      <c r="O154" s="1"/>
    </row>
    <row r="155" spans="1:15" ht="14.1" x14ac:dyDescent="0.5">
      <c r="A155" s="11" t="s">
        <v>39</v>
      </c>
      <c r="B155" s="1"/>
      <c r="C155" s="7">
        <v>87.906390000000002</v>
      </c>
      <c r="D155" s="7">
        <v>104.1075</v>
      </c>
      <c r="E155" s="7">
        <v>107.57774999999999</v>
      </c>
      <c r="F155" s="7">
        <v>142.77600000000001</v>
      </c>
      <c r="G155" s="7">
        <v>276.62849999999997</v>
      </c>
      <c r="H155" s="7">
        <v>196.71359999999999</v>
      </c>
      <c r="I155" s="7">
        <v>89.234999999999999</v>
      </c>
      <c r="J155" s="7">
        <v>92.209500000000006</v>
      </c>
      <c r="K155" s="7">
        <v>89.234999999999999</v>
      </c>
      <c r="L155" s="7">
        <v>92.209500000000006</v>
      </c>
      <c r="M155" s="7">
        <v>76.841250000000002</v>
      </c>
      <c r="N155" s="7">
        <v>69.405000000000001</v>
      </c>
      <c r="O155" s="1"/>
    </row>
    <row r="156" spans="1:15" ht="14.1" x14ac:dyDescent="0.5">
      <c r="A156" s="11" t="s">
        <v>40</v>
      </c>
      <c r="B156" s="1"/>
      <c r="C156" s="7">
        <v>87.906390000000002</v>
      </c>
      <c r="D156" s="7">
        <v>104.1075</v>
      </c>
      <c r="E156" s="7">
        <v>107.57774999999999</v>
      </c>
      <c r="F156" s="7">
        <v>146.08785</v>
      </c>
      <c r="G156" s="7">
        <v>276.71836100000024</v>
      </c>
      <c r="H156" s="7">
        <v>196.71359999999999</v>
      </c>
      <c r="I156" s="7">
        <v>89.235560000000078</v>
      </c>
      <c r="J156" s="7">
        <v>92.319894999999974</v>
      </c>
      <c r="K156" s="7">
        <v>89.541629999999927</v>
      </c>
      <c r="L156" s="7">
        <v>92.209500000000006</v>
      </c>
      <c r="M156" s="7">
        <v>76.841250000000002</v>
      </c>
      <c r="N156" s="7">
        <v>69.405000000000001</v>
      </c>
      <c r="O156" s="1"/>
    </row>
    <row r="157" spans="1:15" ht="14.1" x14ac:dyDescent="0.5">
      <c r="A157" s="11" t="s">
        <v>12</v>
      </c>
      <c r="B157" s="8">
        <v>668</v>
      </c>
      <c r="C157" s="6">
        <v>773.1095736000002</v>
      </c>
      <c r="D157" s="6">
        <v>851.22557185200003</v>
      </c>
      <c r="E157" s="6">
        <v>898.51141971600009</v>
      </c>
      <c r="F157" s="6">
        <v>828.09077429600006</v>
      </c>
      <c r="G157" s="6">
        <v>607.21667967999986</v>
      </c>
      <c r="H157" s="6">
        <v>472.83000846199985</v>
      </c>
      <c r="I157" s="6">
        <v>435.23021893199973</v>
      </c>
      <c r="J157" s="6">
        <v>383.70898752199975</v>
      </c>
      <c r="K157" s="6">
        <v>337.12369985799978</v>
      </c>
      <c r="L157" s="6">
        <v>308.1389994819998</v>
      </c>
      <c r="M157" s="6">
        <v>294.13539985199981</v>
      </c>
      <c r="N157" s="6">
        <v>327.7207828399998</v>
      </c>
      <c r="O157" s="1"/>
    </row>
    <row r="158" spans="1:15" ht="14.1" x14ac:dyDescent="0.5">
      <c r="A158" s="11" t="s">
        <v>8</v>
      </c>
      <c r="B158" s="1"/>
      <c r="C158" s="6">
        <v>447</v>
      </c>
      <c r="D158" s="6">
        <v>454</v>
      </c>
      <c r="E158" s="6">
        <v>459</v>
      </c>
      <c r="F158" s="6">
        <v>452</v>
      </c>
      <c r="G158" s="6">
        <v>429</v>
      </c>
      <c r="H158" s="6">
        <v>413</v>
      </c>
      <c r="I158" s="6">
        <v>408</v>
      </c>
      <c r="J158" s="6">
        <v>401</v>
      </c>
      <c r="K158" s="6">
        <v>393</v>
      </c>
      <c r="L158" s="6">
        <v>389</v>
      </c>
      <c r="M158" s="6">
        <v>386</v>
      </c>
      <c r="N158" s="6">
        <v>392</v>
      </c>
      <c r="O158" s="1"/>
    </row>
    <row r="159" spans="1:15" ht="14.1" x14ac:dyDescent="0.5">
      <c r="A159" s="11" t="s">
        <v>9</v>
      </c>
      <c r="B159" s="1"/>
      <c r="C159" s="6">
        <v>9193.5999999999985</v>
      </c>
      <c r="D159" s="6">
        <v>10301.817999999999</v>
      </c>
      <c r="E159" s="6">
        <v>10525.447999999999</v>
      </c>
      <c r="F159" s="6">
        <v>10899.82</v>
      </c>
      <c r="G159" s="6">
        <v>10675.043999999998</v>
      </c>
      <c r="H159" s="6">
        <v>8682.2379999999994</v>
      </c>
      <c r="I159" s="6">
        <v>7670.9739999999983</v>
      </c>
      <c r="J159" s="6">
        <v>7313.4099999999989</v>
      </c>
      <c r="K159" s="6">
        <v>7099.7119999999995</v>
      </c>
      <c r="L159" s="6">
        <v>6252.1779999999999</v>
      </c>
      <c r="M159" s="6">
        <v>5832.4219999999968</v>
      </c>
      <c r="N159" s="6">
        <v>6041.9179999999997</v>
      </c>
      <c r="O159" s="1"/>
    </row>
    <row r="160" spans="1:15" ht="14.1" x14ac:dyDescent="0.5">
      <c r="A160" s="11" t="s">
        <v>41</v>
      </c>
      <c r="B160" s="1"/>
      <c r="C160" s="6">
        <v>758.33333333333337</v>
      </c>
      <c r="D160" s="1">
        <v>2500</v>
      </c>
      <c r="E160" s="1">
        <v>3520</v>
      </c>
      <c r="F160" s="1">
        <v>2750</v>
      </c>
      <c r="G160" s="1">
        <v>3750</v>
      </c>
      <c r="H160" s="1">
        <v>3500</v>
      </c>
      <c r="I160" s="1">
        <v>2250</v>
      </c>
      <c r="J160" s="1">
        <v>2250</v>
      </c>
      <c r="K160" s="1">
        <v>2500</v>
      </c>
      <c r="L160" s="1">
        <v>2500</v>
      </c>
      <c r="M160" s="1">
        <v>2500</v>
      </c>
      <c r="N160" s="1">
        <v>2500</v>
      </c>
      <c r="O160" s="1"/>
    </row>
    <row r="161" spans="1:15" ht="14.1" x14ac:dyDescent="0.5">
      <c r="A161" s="1"/>
      <c r="B161" s="14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4.1" x14ac:dyDescent="0.5">
      <c r="A162" s="1"/>
      <c r="B162" s="1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"/>
    </row>
    <row r="163" spans="1:15" ht="14.1" x14ac:dyDescent="0.5">
      <c r="A163" s="1"/>
      <c r="B163" s="1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"/>
    </row>
    <row r="164" spans="1:15" ht="14.1" x14ac:dyDescent="0.5">
      <c r="A164" s="1"/>
      <c r="B164" s="1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"/>
    </row>
    <row r="165" spans="1:15" ht="14.1" x14ac:dyDescent="0.5">
      <c r="A165" s="1"/>
      <c r="B165" s="1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"/>
    </row>
    <row r="166" spans="1:15" ht="14.1" x14ac:dyDescent="0.5">
      <c r="A166" s="1"/>
      <c r="B166" s="1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"/>
    </row>
    <row r="167" spans="1:15" ht="14.1" x14ac:dyDescent="0.5">
      <c r="A167" s="1"/>
      <c r="B167" s="1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"/>
    </row>
    <row r="168" spans="1:15" ht="14.1" x14ac:dyDescent="0.5">
      <c r="A168" s="1"/>
      <c r="B168" s="1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"/>
    </row>
    <row r="169" spans="1:15" ht="14.1" x14ac:dyDescent="0.5">
      <c r="A169" s="1"/>
      <c r="B169" s="1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"/>
    </row>
    <row r="170" spans="1:15" ht="14.1" x14ac:dyDescent="0.5">
      <c r="A170" s="1"/>
      <c r="B170" s="1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"/>
    </row>
    <row r="171" spans="1:15" ht="14.1" x14ac:dyDescent="0.5">
      <c r="A171" s="1"/>
      <c r="B171" s="1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"/>
    </row>
    <row r="172" spans="1:15" ht="14.1" x14ac:dyDescent="0.5">
      <c r="A172" s="1"/>
      <c r="B172" s="1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"/>
    </row>
    <row r="173" spans="1:15" ht="14.1" x14ac:dyDescent="0.5">
      <c r="A173" s="1"/>
      <c r="B173" s="1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"/>
    </row>
    <row r="174" spans="1:15" ht="14.1" x14ac:dyDescent="0.5">
      <c r="A174" s="1"/>
      <c r="B174" s="1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"/>
    </row>
    <row r="175" spans="1:15" ht="14.1" x14ac:dyDescent="0.5">
      <c r="A175" s="1"/>
      <c r="B175" s="1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"/>
    </row>
    <row r="176" spans="1:15" ht="14.1" x14ac:dyDescent="0.5">
      <c r="A176" s="1"/>
      <c r="B176" s="1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"/>
    </row>
    <row r="177" spans="1:15" ht="14.1" x14ac:dyDescent="0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4.1" x14ac:dyDescent="0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4.1" x14ac:dyDescent="0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4.1" x14ac:dyDescent="0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4.1" x14ac:dyDescent="0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4.1" x14ac:dyDescent="0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4.1" x14ac:dyDescent="0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4.1" x14ac:dyDescent="0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4.1" x14ac:dyDescent="0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4.1" x14ac:dyDescent="0.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5" x14ac:dyDescent="0.5">
      <c r="A187" s="1"/>
      <c r="C187" s="3">
        <v>45717</v>
      </c>
      <c r="D187" s="3">
        <v>45748</v>
      </c>
      <c r="E187" s="3">
        <v>45778</v>
      </c>
      <c r="F187" s="3">
        <v>45809</v>
      </c>
      <c r="G187" s="3">
        <v>45839</v>
      </c>
      <c r="H187" s="3">
        <v>45870</v>
      </c>
      <c r="I187" s="3">
        <v>45901</v>
      </c>
      <c r="J187" s="3">
        <v>45931</v>
      </c>
      <c r="K187" s="3">
        <v>45962</v>
      </c>
      <c r="L187" s="3">
        <v>45992</v>
      </c>
      <c r="M187" s="3">
        <v>46023</v>
      </c>
      <c r="N187" s="3">
        <v>46054</v>
      </c>
      <c r="O187" s="1"/>
    </row>
    <row r="188" spans="1:15" ht="15" x14ac:dyDescent="0.5">
      <c r="A188" s="4" t="s">
        <v>42</v>
      </c>
      <c r="B188" s="5">
        <v>45717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4.1" x14ac:dyDescent="0.5">
      <c r="A189" s="11" t="s">
        <v>1</v>
      </c>
      <c r="B189" s="1"/>
      <c r="C189" s="6">
        <v>60</v>
      </c>
      <c r="D189" s="6">
        <v>67</v>
      </c>
      <c r="E189" s="6">
        <v>56</v>
      </c>
      <c r="F189" s="6">
        <v>39</v>
      </c>
      <c r="G189" s="6">
        <v>34</v>
      </c>
      <c r="H189" s="6">
        <v>33</v>
      </c>
      <c r="I189" s="6">
        <v>29</v>
      </c>
      <c r="J189" s="6">
        <v>30</v>
      </c>
      <c r="K189" s="6">
        <v>30</v>
      </c>
      <c r="L189" s="6">
        <v>30</v>
      </c>
      <c r="M189" s="6">
        <v>20</v>
      </c>
      <c r="N189" s="6">
        <v>25</v>
      </c>
      <c r="O189" s="1"/>
    </row>
    <row r="190" spans="1:15" ht="14.1" x14ac:dyDescent="0.5">
      <c r="A190" s="11" t="s">
        <v>2</v>
      </c>
      <c r="B190" s="1"/>
      <c r="C190" s="7">
        <v>2.1587902079999637</v>
      </c>
      <c r="D190" s="7">
        <v>4.2172800560000008</v>
      </c>
      <c r="E190" s="7">
        <v>5.3831029200000033</v>
      </c>
      <c r="F190" s="7">
        <v>5.9267821620000012</v>
      </c>
      <c r="G190" s="7">
        <v>7.2852366000000028</v>
      </c>
      <c r="H190" s="7">
        <v>6.5743141140000025</v>
      </c>
      <c r="I190" s="7">
        <v>5.3531150400000023</v>
      </c>
      <c r="J190" s="7">
        <v>2.6443331600000008</v>
      </c>
      <c r="K190" s="7">
        <v>1.2606743520000006</v>
      </c>
      <c r="L190" s="7">
        <v>0.79217612000000037</v>
      </c>
      <c r="M190" s="7">
        <v>1.4265108000000006</v>
      </c>
      <c r="N190" s="7">
        <v>1.1631776200000006</v>
      </c>
      <c r="O190" s="1"/>
    </row>
    <row r="191" spans="1:15" ht="14.1" x14ac:dyDescent="0.5">
      <c r="A191" s="11" t="s">
        <v>3</v>
      </c>
      <c r="B191" s="1"/>
      <c r="C191" s="6">
        <v>38.162849999999999</v>
      </c>
      <c r="D191" s="6">
        <v>151.549778</v>
      </c>
      <c r="E191" s="6">
        <v>165.08288300000001</v>
      </c>
      <c r="F191" s="6">
        <v>207.10750000000002</v>
      </c>
      <c r="G191" s="6">
        <v>107.22095</v>
      </c>
      <c r="H191" s="6">
        <v>87.220950000000002</v>
      </c>
      <c r="I191" s="6">
        <v>73.723500000000001</v>
      </c>
      <c r="J191" s="6">
        <v>82.235354999999998</v>
      </c>
      <c r="K191" s="6">
        <v>21.898</v>
      </c>
      <c r="L191" s="6">
        <v>21.294599999999999</v>
      </c>
      <c r="M191" s="6">
        <v>12.294599999999999</v>
      </c>
      <c r="N191" s="6">
        <v>27.878159999999998</v>
      </c>
      <c r="O191" s="1"/>
    </row>
    <row r="192" spans="1:15" ht="14.1" x14ac:dyDescent="0.5">
      <c r="A192" s="11" t="s">
        <v>43</v>
      </c>
      <c r="B192" s="1"/>
      <c r="C192" s="7">
        <v>58.5</v>
      </c>
      <c r="D192" s="7">
        <v>62.6</v>
      </c>
      <c r="E192" s="7">
        <v>67</v>
      </c>
      <c r="F192" s="7">
        <v>67</v>
      </c>
      <c r="G192" s="7">
        <v>67</v>
      </c>
      <c r="H192" s="7">
        <v>67</v>
      </c>
      <c r="I192" s="7">
        <v>63.8</v>
      </c>
      <c r="J192" s="7">
        <v>57</v>
      </c>
      <c r="K192" s="7">
        <v>57</v>
      </c>
      <c r="L192" s="7">
        <v>57</v>
      </c>
      <c r="M192" s="7">
        <v>57</v>
      </c>
      <c r="N192" s="7">
        <v>57</v>
      </c>
      <c r="O192" s="1"/>
    </row>
    <row r="193" spans="1:15" ht="14.1" x14ac:dyDescent="0.5">
      <c r="A193" s="11" t="s">
        <v>44</v>
      </c>
      <c r="B193" s="1"/>
      <c r="C193" s="6">
        <v>450</v>
      </c>
      <c r="D193" s="6">
        <v>460</v>
      </c>
      <c r="E193" s="6">
        <v>400</v>
      </c>
      <c r="F193" s="6">
        <v>1750</v>
      </c>
      <c r="G193" s="6">
        <v>150</v>
      </c>
      <c r="H193" s="6">
        <v>150</v>
      </c>
      <c r="I193" s="6">
        <v>150</v>
      </c>
      <c r="J193" s="6">
        <v>635</v>
      </c>
      <c r="K193" s="6">
        <v>200</v>
      </c>
      <c r="L193" s="6">
        <v>200</v>
      </c>
      <c r="M193" s="6">
        <v>200</v>
      </c>
      <c r="N193" s="6">
        <v>340</v>
      </c>
      <c r="O193" s="1"/>
    </row>
    <row r="194" spans="1:15" ht="14.1" x14ac:dyDescent="0.5">
      <c r="A194" s="11" t="s">
        <v>45</v>
      </c>
      <c r="B194" s="1"/>
      <c r="C194" s="6">
        <v>27.662849999999999</v>
      </c>
      <c r="D194" s="6">
        <v>58.449778000000009</v>
      </c>
      <c r="E194" s="6">
        <v>61.682883000000004</v>
      </c>
      <c r="F194" s="6">
        <v>104.1075</v>
      </c>
      <c r="G194" s="6">
        <v>9.2209500000000002</v>
      </c>
      <c r="H194" s="6">
        <v>9.2209500000000002</v>
      </c>
      <c r="I194" s="6">
        <v>8.9235000000000007</v>
      </c>
      <c r="J194" s="6">
        <v>39.035355000000003</v>
      </c>
      <c r="K194" s="6">
        <v>11.898</v>
      </c>
      <c r="L194" s="6">
        <v>12.294599999999999</v>
      </c>
      <c r="M194" s="6">
        <v>12.294599999999999</v>
      </c>
      <c r="N194" s="6">
        <v>18.878159999999998</v>
      </c>
      <c r="O194" s="1"/>
    </row>
    <row r="195" spans="1:15" ht="14.1" x14ac:dyDescent="0.5">
      <c r="A195" s="11" t="s">
        <v>46</v>
      </c>
      <c r="B195" s="1"/>
      <c r="C195" s="6">
        <v>0</v>
      </c>
      <c r="D195" s="6">
        <v>80</v>
      </c>
      <c r="E195" s="6">
        <v>90</v>
      </c>
      <c r="F195" s="6">
        <v>95</v>
      </c>
      <c r="G195" s="6">
        <v>90</v>
      </c>
      <c r="H195" s="6">
        <v>70</v>
      </c>
      <c r="I195" s="6">
        <v>60</v>
      </c>
      <c r="J195" s="6">
        <v>40</v>
      </c>
      <c r="K195" s="6">
        <v>0</v>
      </c>
      <c r="L195" s="6">
        <v>0</v>
      </c>
      <c r="M195" s="6">
        <v>0</v>
      </c>
      <c r="N195" s="6">
        <v>0</v>
      </c>
      <c r="O195" s="1"/>
    </row>
    <row r="196" spans="1:15" ht="14.1" x14ac:dyDescent="0.5">
      <c r="A196" s="11" t="s">
        <v>47</v>
      </c>
      <c r="B196" s="1"/>
      <c r="C196" s="6">
        <v>9</v>
      </c>
      <c r="D196" s="6">
        <v>9</v>
      </c>
      <c r="E196" s="6">
        <v>9</v>
      </c>
      <c r="F196" s="6">
        <v>8</v>
      </c>
      <c r="G196" s="6">
        <v>8</v>
      </c>
      <c r="H196" s="6">
        <v>8</v>
      </c>
      <c r="I196" s="6">
        <v>8</v>
      </c>
      <c r="J196" s="6">
        <v>10</v>
      </c>
      <c r="K196" s="6">
        <v>10</v>
      </c>
      <c r="L196" s="6">
        <v>9</v>
      </c>
      <c r="M196" s="6">
        <v>0</v>
      </c>
      <c r="N196" s="6">
        <v>9</v>
      </c>
      <c r="O196" s="1"/>
    </row>
    <row r="197" spans="1:15" ht="14.1" x14ac:dyDescent="0.5">
      <c r="A197" s="11" t="s">
        <v>27</v>
      </c>
      <c r="B197" s="13">
        <v>1934</v>
      </c>
      <c r="C197" s="6">
        <v>1953.678359792</v>
      </c>
      <c r="D197" s="6">
        <v>1864.911301736</v>
      </c>
      <c r="E197" s="6">
        <v>1750.4453158159999</v>
      </c>
      <c r="F197" s="6">
        <v>1576.4110336539998</v>
      </c>
      <c r="G197" s="6">
        <v>1495.9048470539999</v>
      </c>
      <c r="H197" s="6">
        <v>1435.1095829400001</v>
      </c>
      <c r="I197" s="6">
        <v>1385.0329679000001</v>
      </c>
      <c r="J197" s="6">
        <v>1330.15327974</v>
      </c>
      <c r="K197" s="6">
        <v>1336.9946053880001</v>
      </c>
      <c r="L197" s="6">
        <v>1344.9078292680001</v>
      </c>
      <c r="M197" s="6">
        <v>1351.1867184680002</v>
      </c>
      <c r="N197" s="6">
        <v>1347.1453808480003</v>
      </c>
      <c r="O197" s="1"/>
    </row>
    <row r="198" spans="1:15" ht="14.1" x14ac:dyDescent="0.5">
      <c r="A198" s="11" t="s">
        <v>8</v>
      </c>
      <c r="B198" s="1"/>
      <c r="C198" s="6">
        <v>1048</v>
      </c>
      <c r="D198" s="6">
        <v>1040</v>
      </c>
      <c r="E198" s="6">
        <v>1029</v>
      </c>
      <c r="F198" s="6">
        <v>1011</v>
      </c>
      <c r="G198" s="6">
        <v>1003</v>
      </c>
      <c r="H198" s="6">
        <v>996</v>
      </c>
      <c r="I198" s="6">
        <v>990</v>
      </c>
      <c r="J198" s="6">
        <v>984</v>
      </c>
      <c r="K198" s="6">
        <v>985</v>
      </c>
      <c r="L198" s="6">
        <v>986</v>
      </c>
      <c r="M198" s="6">
        <v>987</v>
      </c>
      <c r="N198" s="6">
        <v>986</v>
      </c>
      <c r="O198" s="1"/>
    </row>
    <row r="199" spans="1:15" ht="14.1" x14ac:dyDescent="0.5">
      <c r="A199" s="11" t="s">
        <v>9</v>
      </c>
      <c r="B199" s="1"/>
      <c r="C199" s="6">
        <v>10848.192000000005</v>
      </c>
      <c r="D199" s="6">
        <v>10925.596000000001</v>
      </c>
      <c r="E199" s="6">
        <v>10617.560000000005</v>
      </c>
      <c r="F199" s="6">
        <v>10201.002000000002</v>
      </c>
      <c r="G199" s="6">
        <v>9535.6500000000033</v>
      </c>
      <c r="H199" s="6">
        <v>9246.5740000000042</v>
      </c>
      <c r="I199" s="6">
        <v>8996.832000000004</v>
      </c>
      <c r="J199" s="6">
        <v>8785.1600000000035</v>
      </c>
      <c r="K199" s="6">
        <v>8576.0160000000033</v>
      </c>
      <c r="L199" s="6">
        <v>8610.6100000000042</v>
      </c>
      <c r="M199" s="6">
        <v>8645.5200000000041</v>
      </c>
      <c r="N199" s="6">
        <v>8680.4300000000039</v>
      </c>
      <c r="O199" s="1"/>
    </row>
    <row r="200" spans="1:15" ht="14.1" x14ac:dyDescent="0.5">
      <c r="A200" s="11" t="s">
        <v>48</v>
      </c>
      <c r="B200" s="1"/>
      <c r="C200" s="6">
        <v>86</v>
      </c>
      <c r="D200" s="6">
        <v>57</v>
      </c>
      <c r="E200" s="6">
        <v>60</v>
      </c>
      <c r="F200" s="6">
        <v>31</v>
      </c>
      <c r="G200" s="6">
        <v>33</v>
      </c>
      <c r="H200" s="6">
        <v>28</v>
      </c>
      <c r="I200" s="6">
        <v>34</v>
      </c>
      <c r="J200" s="6">
        <v>59</v>
      </c>
      <c r="K200" s="6">
        <v>62</v>
      </c>
      <c r="L200" s="6">
        <v>63</v>
      </c>
      <c r="M200" s="6">
        <v>63</v>
      </c>
      <c r="N200" s="6">
        <v>70</v>
      </c>
      <c r="O200" s="1"/>
    </row>
    <row r="201" spans="1:15" ht="14.1" x14ac:dyDescent="0.5">
      <c r="A201" s="11" t="s">
        <v>49</v>
      </c>
      <c r="B201" s="14"/>
      <c r="C201" s="6">
        <v>1848.9881736697409</v>
      </c>
      <c r="D201" s="6">
        <v>1940.7558917465121</v>
      </c>
      <c r="E201" s="6">
        <v>2003.6663738551886</v>
      </c>
      <c r="F201" s="6">
        <v>2271.0959825180703</v>
      </c>
      <c r="G201" s="6">
        <v>686.82104338490069</v>
      </c>
      <c r="H201" s="6">
        <v>605.4845216599158</v>
      </c>
      <c r="I201" s="6">
        <v>721.52462598756097</v>
      </c>
      <c r="J201" s="6">
        <v>1594.7709563548226</v>
      </c>
      <c r="K201" s="6">
        <v>1242.1919650361403</v>
      </c>
      <c r="L201" s="6">
        <v>1224.8401737348104</v>
      </c>
      <c r="M201" s="6">
        <v>1224.8401737348104</v>
      </c>
      <c r="N201" s="6">
        <v>1600.7160867372668</v>
      </c>
      <c r="O201" s="1"/>
    </row>
    <row r="202" spans="1:15" ht="14.1" x14ac:dyDescent="0.5">
      <c r="A202" s="1"/>
      <c r="B202" s="1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"/>
    </row>
    <row r="203" spans="1:15" ht="14.1" x14ac:dyDescent="0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4.1" x14ac:dyDescent="0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4.1" x14ac:dyDescent="0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4.1" x14ac:dyDescent="0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4.1" x14ac:dyDescent="0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4.1" x14ac:dyDescent="0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4.1" x14ac:dyDescent="0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4.1" x14ac:dyDescent="0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4.1" x14ac:dyDescent="0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4.1" x14ac:dyDescent="0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4.1" x14ac:dyDescent="0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4.1" x14ac:dyDescent="0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4.1" x14ac:dyDescent="0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4.1" x14ac:dyDescent="0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4.1" x14ac:dyDescent="0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4.1" x14ac:dyDescent="0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4.1" x14ac:dyDescent="0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4.1" x14ac:dyDescent="0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4.1" x14ac:dyDescent="0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4.1" x14ac:dyDescent="0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4.1" x14ac:dyDescent="0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4.1" x14ac:dyDescent="0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4.1" x14ac:dyDescent="0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4.1" x14ac:dyDescent="0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4.1" x14ac:dyDescent="0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4.1" x14ac:dyDescent="0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5" x14ac:dyDescent="0.5">
      <c r="A229" s="1"/>
      <c r="B229" s="2"/>
      <c r="C229" s="3">
        <v>45717</v>
      </c>
      <c r="D229" s="3">
        <v>45748</v>
      </c>
      <c r="E229" s="3">
        <v>45778</v>
      </c>
      <c r="F229" s="3">
        <v>45809</v>
      </c>
      <c r="G229" s="3">
        <v>45839</v>
      </c>
      <c r="H229" s="3">
        <v>45870</v>
      </c>
      <c r="I229" s="3">
        <v>45901</v>
      </c>
      <c r="J229" s="3">
        <v>45931</v>
      </c>
      <c r="K229" s="3">
        <v>45962</v>
      </c>
      <c r="L229" s="3">
        <v>45992</v>
      </c>
      <c r="M229" s="3">
        <v>46023</v>
      </c>
      <c r="N229" s="3">
        <v>46054</v>
      </c>
      <c r="O229" s="1"/>
    </row>
    <row r="230" spans="1:15" ht="15" x14ac:dyDescent="0.5">
      <c r="A230" s="4" t="s">
        <v>50</v>
      </c>
      <c r="B230" s="1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"/>
    </row>
    <row r="231" spans="1:15" ht="14.1" x14ac:dyDescent="0.5">
      <c r="A231" s="11" t="s">
        <v>51</v>
      </c>
      <c r="B231" s="1"/>
      <c r="C231" s="9">
        <v>137.16413250000002</v>
      </c>
      <c r="D231" s="9">
        <v>-27.080364999999986</v>
      </c>
      <c r="E231" s="9">
        <v>-130.8233075</v>
      </c>
      <c r="F231" s="9">
        <v>-131.69489000000002</v>
      </c>
      <c r="G231" s="9">
        <v>-99.758115000000018</v>
      </c>
      <c r="H231" s="9">
        <v>-48.169055000000014</v>
      </c>
      <c r="I231" s="9">
        <v>43.20313500000001</v>
      </c>
      <c r="J231" s="9">
        <v>103.37300499999999</v>
      </c>
      <c r="K231" s="9">
        <v>32.524744999999996</v>
      </c>
      <c r="L231" s="9">
        <v>191.68829250000002</v>
      </c>
      <c r="M231" s="9">
        <v>183.477745</v>
      </c>
      <c r="N231" s="9">
        <v>89.183999999999997</v>
      </c>
      <c r="O231" s="1"/>
    </row>
    <row r="232" spans="1:15" ht="14.1" x14ac:dyDescent="0.5">
      <c r="A232" s="11" t="s">
        <v>52</v>
      </c>
      <c r="B232" s="9">
        <v>705</v>
      </c>
      <c r="C232" s="9">
        <v>833.04863199020008</v>
      </c>
      <c r="D232" s="9">
        <v>792.02223725348017</v>
      </c>
      <c r="E232" s="9">
        <v>643.51297396332018</v>
      </c>
      <c r="F232" s="9">
        <v>492.66743725628021</v>
      </c>
      <c r="G232" s="9">
        <v>371.98965812012017</v>
      </c>
      <c r="H232" s="9">
        <v>303.45981131968017</v>
      </c>
      <c r="I232" s="9">
        <v>330.9565875820802</v>
      </c>
      <c r="J232" s="9">
        <v>422.9120184775602</v>
      </c>
      <c r="K232" s="9">
        <v>447.69374281064017</v>
      </c>
      <c r="L232" s="9">
        <v>632.90062398136013</v>
      </c>
      <c r="M232" s="9">
        <v>807.46904249736019</v>
      </c>
      <c r="N232" s="9">
        <v>887.87506844368011</v>
      </c>
      <c r="O232" s="1"/>
    </row>
    <row r="233" spans="1:15" ht="14.1" x14ac:dyDescent="0.5">
      <c r="A233" s="11" t="s">
        <v>53</v>
      </c>
      <c r="B233" s="9"/>
      <c r="C233" s="9">
        <v>100.364</v>
      </c>
      <c r="D233" s="9">
        <v>-90.091999999999999</v>
      </c>
      <c r="E233" s="9">
        <v>-119.00789999999999</v>
      </c>
      <c r="F233" s="9">
        <v>-74.742000000000004</v>
      </c>
      <c r="G233" s="9">
        <v>-138.74199999999999</v>
      </c>
      <c r="H233" s="9">
        <v>-22.477</v>
      </c>
      <c r="I233" s="9">
        <v>61.628999999999998</v>
      </c>
      <c r="J233" s="9">
        <v>121.735</v>
      </c>
      <c r="K233" s="9">
        <v>108.735</v>
      </c>
      <c r="L233" s="9">
        <v>50.841000000000001</v>
      </c>
      <c r="M233" s="9">
        <v>149.68199999999999</v>
      </c>
      <c r="N233" s="9">
        <v>57.576000000000001</v>
      </c>
      <c r="O233" s="1"/>
    </row>
    <row r="234" spans="1:15" ht="14.1" x14ac:dyDescent="0.5">
      <c r="A234" s="11" t="s">
        <v>54</v>
      </c>
      <c r="B234" s="9">
        <v>960</v>
      </c>
      <c r="C234" s="9">
        <v>1059.1060951698</v>
      </c>
      <c r="D234" s="9">
        <v>965.69197653051992</v>
      </c>
      <c r="E234" s="9">
        <v>842.52757319267994</v>
      </c>
      <c r="F234" s="9">
        <v>764.23271626771998</v>
      </c>
      <c r="G234" s="9">
        <v>621.07066947587998</v>
      </c>
      <c r="H234" s="9">
        <v>594.80384042432001</v>
      </c>
      <c r="I234" s="9">
        <v>653.38098908192001</v>
      </c>
      <c r="J234" s="9">
        <v>773.51744807043997</v>
      </c>
      <c r="K234" s="9">
        <v>881.41457370135993</v>
      </c>
      <c r="L234" s="9">
        <v>931.71270560663993</v>
      </c>
      <c r="M234" s="9">
        <v>1080.36929489064</v>
      </c>
      <c r="N234" s="9">
        <v>1137.06800500032</v>
      </c>
      <c r="O234" s="1"/>
    </row>
    <row r="235" spans="1:15" ht="14.1" x14ac:dyDescent="0.5">
      <c r="A235" s="11" t="s">
        <v>55</v>
      </c>
      <c r="B235" s="9">
        <v>1665</v>
      </c>
      <c r="C235" s="9">
        <v>1892.1547271600002</v>
      </c>
      <c r="D235" s="9">
        <v>1757.7142137840001</v>
      </c>
      <c r="E235" s="9">
        <v>1486.0405471560002</v>
      </c>
      <c r="F235" s="9">
        <v>1256.9001535240002</v>
      </c>
      <c r="G235" s="9">
        <v>993.06032759600021</v>
      </c>
      <c r="H235" s="9">
        <v>898.26365174400019</v>
      </c>
      <c r="I235" s="9">
        <v>984.33757666400015</v>
      </c>
      <c r="J235" s="9">
        <v>1196.4294665480002</v>
      </c>
      <c r="K235" s="9">
        <v>1329.1083165120001</v>
      </c>
      <c r="L235" s="9">
        <v>1564.6133295879999</v>
      </c>
      <c r="M235" s="9">
        <v>1887.8383373880001</v>
      </c>
      <c r="N235" s="9">
        <v>2024.9430734440002</v>
      </c>
      <c r="O235" s="1"/>
    </row>
    <row r="236" spans="1:15" ht="14.1" x14ac:dyDescent="0.5">
      <c r="A236" s="11" t="s">
        <v>9</v>
      </c>
      <c r="B236" s="1"/>
      <c r="C236" s="9">
        <v>11926.659999999998</v>
      </c>
      <c r="D236" s="9">
        <v>12352.715999999997</v>
      </c>
      <c r="E236" s="9">
        <v>12115.304000000004</v>
      </c>
      <c r="F236" s="9">
        <v>11537.871999999999</v>
      </c>
      <c r="G236" s="9">
        <v>10915.852000000003</v>
      </c>
      <c r="H236" s="9">
        <v>10057.132000000001</v>
      </c>
      <c r="I236" s="9">
        <v>9677.6639999999989</v>
      </c>
      <c r="J236" s="9">
        <v>10020.316000000001</v>
      </c>
      <c r="K236" s="9">
        <v>10754.387999999997</v>
      </c>
      <c r="L236" s="9">
        <v>11133.471999999998</v>
      </c>
      <c r="M236" s="9">
        <v>11725.68</v>
      </c>
      <c r="N236" s="9">
        <v>12352.715999999997</v>
      </c>
    </row>
    <row r="237" spans="1:15" ht="14.1" x14ac:dyDescent="0.5">
      <c r="A237" s="11" t="s">
        <v>56</v>
      </c>
      <c r="C237" s="9">
        <v>532</v>
      </c>
      <c r="D237" s="9">
        <v>521</v>
      </c>
      <c r="E237" s="9">
        <v>498</v>
      </c>
      <c r="F237" s="9">
        <v>477</v>
      </c>
      <c r="G237" s="9">
        <v>452</v>
      </c>
      <c r="H237" s="9">
        <v>442</v>
      </c>
      <c r="I237" s="9">
        <v>451</v>
      </c>
      <c r="J237" s="9">
        <v>472</v>
      </c>
      <c r="K237" s="9">
        <v>484</v>
      </c>
      <c r="L237" s="9">
        <v>505</v>
      </c>
      <c r="M237" s="9">
        <v>532</v>
      </c>
      <c r="N237" s="9">
        <v>543</v>
      </c>
    </row>
    <row r="263" spans="1:14" ht="15" x14ac:dyDescent="0.5">
      <c r="A263" s="1"/>
      <c r="B263" s="3"/>
      <c r="C263" s="3">
        <v>45717</v>
      </c>
      <c r="D263" s="3">
        <v>45748</v>
      </c>
      <c r="E263" s="3">
        <v>45778</v>
      </c>
      <c r="F263" s="3">
        <v>45809</v>
      </c>
      <c r="G263" s="3">
        <v>45839</v>
      </c>
      <c r="H263" s="3">
        <v>45870</v>
      </c>
      <c r="I263" s="3">
        <v>45901</v>
      </c>
      <c r="J263" s="3">
        <v>45931</v>
      </c>
      <c r="K263" s="3">
        <v>45962</v>
      </c>
      <c r="L263" s="3">
        <v>45992</v>
      </c>
      <c r="M263" s="3">
        <v>46023</v>
      </c>
      <c r="N263" s="3">
        <v>46054</v>
      </c>
    </row>
    <row r="264" spans="1:14" ht="15" x14ac:dyDescent="0.5">
      <c r="A264" s="4" t="s">
        <v>57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4" ht="14.1" x14ac:dyDescent="0.5">
      <c r="A265" s="1" t="s">
        <v>58</v>
      </c>
      <c r="B265" s="1"/>
      <c r="C265" s="6">
        <v>0</v>
      </c>
      <c r="D265" s="6">
        <v>0</v>
      </c>
      <c r="E265" s="6">
        <v>0</v>
      </c>
      <c r="F265" s="6">
        <v>0</v>
      </c>
      <c r="G265" s="6">
        <v>20</v>
      </c>
      <c r="H265" s="6">
        <v>20</v>
      </c>
      <c r="I265" s="6">
        <v>20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</row>
    <row r="266" spans="1:14" ht="14.1" x14ac:dyDescent="0.5">
      <c r="A266" s="1" t="s">
        <v>59</v>
      </c>
      <c r="B266" s="1"/>
      <c r="C266" s="7">
        <v>12</v>
      </c>
      <c r="D266" s="7">
        <v>12</v>
      </c>
      <c r="E266" s="7">
        <v>12</v>
      </c>
      <c r="F266" s="7">
        <v>10</v>
      </c>
      <c r="G266" s="7">
        <v>11</v>
      </c>
      <c r="H266" s="7">
        <v>12</v>
      </c>
      <c r="I266" s="7">
        <v>12</v>
      </c>
      <c r="J266" s="7">
        <v>14</v>
      </c>
      <c r="K266" s="7">
        <v>14</v>
      </c>
      <c r="L266" s="7">
        <v>14</v>
      </c>
      <c r="M266" s="7">
        <v>14</v>
      </c>
      <c r="N266" s="7">
        <v>14</v>
      </c>
    </row>
    <row r="267" spans="1:14" ht="14.1" x14ac:dyDescent="0.5">
      <c r="A267" s="1" t="s">
        <v>60</v>
      </c>
      <c r="B267" s="1"/>
      <c r="C267" s="6">
        <v>240</v>
      </c>
      <c r="D267" s="6">
        <v>109.0925</v>
      </c>
      <c r="E267" s="6">
        <v>122.77865</v>
      </c>
      <c r="F267" s="6">
        <v>185</v>
      </c>
      <c r="G267" s="6">
        <v>249</v>
      </c>
      <c r="H267" s="6">
        <v>228</v>
      </c>
      <c r="I267" s="6">
        <v>250</v>
      </c>
      <c r="J267" s="6">
        <v>260</v>
      </c>
      <c r="K267" s="6">
        <v>122</v>
      </c>
      <c r="L267" s="6">
        <v>235</v>
      </c>
      <c r="M267" s="6">
        <v>225</v>
      </c>
      <c r="N267" s="6">
        <v>210</v>
      </c>
    </row>
    <row r="268" spans="1:14" ht="14.1" x14ac:dyDescent="0.5">
      <c r="A268" s="1" t="s">
        <v>61</v>
      </c>
      <c r="B268" s="1"/>
      <c r="C268" s="6">
        <v>252</v>
      </c>
      <c r="D268" s="6">
        <v>121.0925</v>
      </c>
      <c r="E268" s="6">
        <v>134.77865</v>
      </c>
      <c r="F268" s="6">
        <v>195</v>
      </c>
      <c r="G268" s="6">
        <v>280</v>
      </c>
      <c r="H268" s="6">
        <v>260</v>
      </c>
      <c r="I268" s="6">
        <v>282</v>
      </c>
      <c r="J268" s="6">
        <v>274</v>
      </c>
      <c r="K268" s="6">
        <v>136</v>
      </c>
      <c r="L268" s="6">
        <v>249</v>
      </c>
      <c r="M268" s="6">
        <v>239</v>
      </c>
      <c r="N268" s="6">
        <v>224</v>
      </c>
    </row>
    <row r="269" spans="1:14" ht="14.1" x14ac:dyDescent="0.5">
      <c r="A269" s="1" t="s">
        <v>62</v>
      </c>
      <c r="B269" s="1"/>
      <c r="C269" s="9">
        <v>160</v>
      </c>
      <c r="D269" s="9">
        <v>35.703000000000003</v>
      </c>
      <c r="E269" s="9">
        <v>36.893100000000004</v>
      </c>
      <c r="F269" s="9">
        <v>100</v>
      </c>
      <c r="G269" s="9">
        <v>115</v>
      </c>
      <c r="H269" s="9">
        <v>212</v>
      </c>
      <c r="I269" s="9">
        <v>266</v>
      </c>
      <c r="J269" s="9">
        <v>236</v>
      </c>
      <c r="K269" s="9">
        <v>194</v>
      </c>
      <c r="L269" s="9">
        <v>127</v>
      </c>
      <c r="M269" s="9">
        <v>150</v>
      </c>
      <c r="N269" s="9">
        <v>145</v>
      </c>
    </row>
    <row r="270" spans="1:14" ht="14.1" x14ac:dyDescent="0.5">
      <c r="A270" s="1" t="s">
        <v>63</v>
      </c>
      <c r="B270" s="1"/>
      <c r="C270" s="6">
        <v>412</v>
      </c>
      <c r="D270" s="6">
        <v>156.7955</v>
      </c>
      <c r="E270" s="6">
        <v>171.67175</v>
      </c>
      <c r="F270" s="6">
        <v>295</v>
      </c>
      <c r="G270" s="6">
        <v>395</v>
      </c>
      <c r="H270" s="6">
        <v>472</v>
      </c>
      <c r="I270" s="6">
        <v>548</v>
      </c>
      <c r="J270" s="6">
        <v>510</v>
      </c>
      <c r="K270" s="6">
        <v>330</v>
      </c>
      <c r="L270" s="6">
        <v>376</v>
      </c>
      <c r="M270" s="6">
        <v>389</v>
      </c>
      <c r="N270" s="6">
        <v>369</v>
      </c>
    </row>
    <row r="271" spans="1:14" ht="14.1" x14ac:dyDescent="0.5">
      <c r="A271" s="1" t="s">
        <v>64</v>
      </c>
      <c r="B271" s="1"/>
      <c r="C271" s="7">
        <v>0</v>
      </c>
      <c r="D271" s="7">
        <v>0</v>
      </c>
      <c r="E271" s="7">
        <v>0</v>
      </c>
      <c r="F271" s="7">
        <v>55.500239999999906</v>
      </c>
      <c r="G271" s="7">
        <v>-55.29310780000003</v>
      </c>
      <c r="H271" s="7">
        <v>0</v>
      </c>
      <c r="I271" s="7">
        <v>49.150062000000048</v>
      </c>
      <c r="J271" s="7">
        <v>34.884263999999973</v>
      </c>
      <c r="K271" s="7">
        <v>0.18841349999996737</v>
      </c>
      <c r="L271" s="7">
        <v>-106.14580749999993</v>
      </c>
      <c r="M271" s="7">
        <v>0</v>
      </c>
      <c r="N271" s="7">
        <v>0</v>
      </c>
    </row>
    <row r="272" spans="1:14" ht="14.1" x14ac:dyDescent="0.5">
      <c r="A272" s="1" t="s">
        <v>65</v>
      </c>
      <c r="B272" s="1"/>
      <c r="C272" s="7">
        <v>0</v>
      </c>
      <c r="D272" s="7">
        <v>0</v>
      </c>
      <c r="E272" s="7">
        <v>0</v>
      </c>
      <c r="F272" s="7">
        <v>55.500239999999906</v>
      </c>
      <c r="G272" s="7">
        <v>0.20713219999987587</v>
      </c>
      <c r="H272" s="7">
        <v>0.20713219999987587</v>
      </c>
      <c r="I272" s="7">
        <v>49.357194199999924</v>
      </c>
      <c r="J272" s="7">
        <v>84.241458199999897</v>
      </c>
      <c r="K272" s="7">
        <v>84.429871699999865</v>
      </c>
      <c r="L272" s="7">
        <v>-21.715935800000068</v>
      </c>
      <c r="M272" s="7">
        <v>-21.715935800000068</v>
      </c>
      <c r="N272" s="7">
        <v>-21.715935800000068</v>
      </c>
    </row>
    <row r="273" spans="1:15" ht="14.1" x14ac:dyDescent="0.5">
      <c r="A273" s="1" t="s">
        <v>66</v>
      </c>
      <c r="B273" s="1"/>
      <c r="C273" s="9">
        <v>1892</v>
      </c>
      <c r="D273" s="9">
        <v>996</v>
      </c>
      <c r="E273" s="9">
        <v>500</v>
      </c>
      <c r="F273" s="9">
        <v>458</v>
      </c>
      <c r="G273" s="9">
        <v>492</v>
      </c>
      <c r="H273" s="9">
        <v>348</v>
      </c>
      <c r="I273" s="9">
        <v>179</v>
      </c>
      <c r="J273" s="9">
        <v>246</v>
      </c>
      <c r="K273" s="9">
        <v>268</v>
      </c>
      <c r="L273" s="9">
        <v>277</v>
      </c>
      <c r="M273" s="9">
        <v>477</v>
      </c>
      <c r="N273" s="9">
        <v>383</v>
      </c>
    </row>
    <row r="274" spans="1:15" ht="14.1" x14ac:dyDescent="0.5">
      <c r="A274" s="1" t="s">
        <v>67</v>
      </c>
      <c r="B274" s="1"/>
      <c r="C274" s="9">
        <v>1191</v>
      </c>
      <c r="D274" s="9">
        <v>172</v>
      </c>
      <c r="E274" s="9">
        <v>27</v>
      </c>
      <c r="F274" s="9">
        <v>0</v>
      </c>
      <c r="G274" s="9">
        <v>0</v>
      </c>
      <c r="H274" s="9">
        <v>13</v>
      </c>
      <c r="I274" s="9">
        <v>0</v>
      </c>
      <c r="J274" s="9">
        <v>0</v>
      </c>
      <c r="K274" s="9">
        <v>0</v>
      </c>
      <c r="L274" s="9">
        <v>0</v>
      </c>
      <c r="M274" s="9">
        <v>108</v>
      </c>
      <c r="N274" s="9">
        <v>50</v>
      </c>
    </row>
    <row r="275" spans="1:15" ht="14.1" x14ac:dyDescent="0.5">
      <c r="A275" s="17" t="s">
        <v>68</v>
      </c>
      <c r="B275" s="17"/>
      <c r="C275" s="18">
        <v>34525.082963252164</v>
      </c>
      <c r="D275" s="18">
        <v>17952.835770717767</v>
      </c>
      <c r="E275" s="18">
        <v>10616.730678509264</v>
      </c>
      <c r="F275" s="18">
        <v>13714.594049420071</v>
      </c>
      <c r="G275" s="18">
        <v>17808.915475086629</v>
      </c>
      <c r="H275" s="18">
        <v>16273.599791778503</v>
      </c>
      <c r="I275" s="18">
        <v>13700.829719280551</v>
      </c>
      <c r="J275" s="18">
        <v>11826.101215167633</v>
      </c>
      <c r="K275" s="18">
        <v>9213.3472852580271</v>
      </c>
      <c r="L275" s="18">
        <v>9577.1745319083184</v>
      </c>
      <c r="M275" s="18">
        <v>11647.422038943927</v>
      </c>
      <c r="N275" s="18">
        <v>11088.577912254161</v>
      </c>
    </row>
    <row r="276" spans="1:15" ht="14.1" x14ac:dyDescent="0.5">
      <c r="A276" s="1" t="s">
        <v>69</v>
      </c>
      <c r="B276" s="1"/>
      <c r="C276" s="19" t="s">
        <v>74</v>
      </c>
      <c r="D276" s="19" t="s">
        <v>74</v>
      </c>
      <c r="E276" s="19" t="s">
        <v>74</v>
      </c>
      <c r="F276" s="19" t="s">
        <v>75</v>
      </c>
      <c r="G276" s="19" t="s">
        <v>75</v>
      </c>
      <c r="H276" s="19" t="s">
        <v>75</v>
      </c>
      <c r="I276" s="19" t="s">
        <v>75</v>
      </c>
      <c r="J276" s="19" t="s">
        <v>75</v>
      </c>
      <c r="K276" s="19" t="s">
        <v>75</v>
      </c>
      <c r="L276" s="19" t="s">
        <v>74</v>
      </c>
      <c r="M276" s="19" t="s">
        <v>74</v>
      </c>
      <c r="N276" s="19" t="s">
        <v>74</v>
      </c>
    </row>
    <row r="277" spans="1:15" ht="14.1" x14ac:dyDescent="0.5">
      <c r="A277" s="1" t="s">
        <v>70</v>
      </c>
      <c r="B277" s="1"/>
      <c r="C277" s="20">
        <v>0.17652078511349062</v>
      </c>
      <c r="D277" s="20">
        <v>0.11912664084317931</v>
      </c>
      <c r="E277" s="20">
        <v>0.19839216166142656</v>
      </c>
      <c r="F277" s="20">
        <v>0.29393627954779028</v>
      </c>
      <c r="G277" s="20">
        <v>0.3333333333333332</v>
      </c>
      <c r="H277" s="20">
        <v>0.43850035800896653</v>
      </c>
      <c r="I277" s="20">
        <v>0.61371428571428577</v>
      </c>
      <c r="J277" s="20">
        <v>0.58698224852071001</v>
      </c>
      <c r="K277" s="20">
        <v>0.49144634525660963</v>
      </c>
      <c r="L277" s="20">
        <v>0.52999337404333469</v>
      </c>
      <c r="M277" s="20">
        <v>0.4588280420341399</v>
      </c>
      <c r="N277" s="20">
        <v>0.48395195680507125</v>
      </c>
    </row>
    <row r="278" spans="1:15" ht="14.1" x14ac:dyDescent="0.5">
      <c r="A278" s="1" t="s">
        <v>71</v>
      </c>
      <c r="B278" s="1"/>
      <c r="C278" s="21">
        <v>0.35</v>
      </c>
      <c r="D278" s="21">
        <v>0.35</v>
      </c>
      <c r="E278" s="21">
        <v>0.35</v>
      </c>
      <c r="F278" s="21">
        <v>0.35</v>
      </c>
      <c r="G278" s="21">
        <v>0.65</v>
      </c>
      <c r="H278" s="21">
        <v>0.65</v>
      </c>
      <c r="I278" s="21">
        <v>0.65</v>
      </c>
      <c r="J278" s="21">
        <v>0.65</v>
      </c>
      <c r="K278" s="21">
        <v>0.65</v>
      </c>
      <c r="L278" s="21">
        <v>0.65</v>
      </c>
      <c r="M278" s="21">
        <v>0.65</v>
      </c>
      <c r="N278" s="21">
        <v>0.45</v>
      </c>
    </row>
    <row r="279" spans="1:15" ht="14.1" x14ac:dyDescent="0.5">
      <c r="A279" s="1" t="s">
        <v>72</v>
      </c>
      <c r="B279" s="1"/>
      <c r="C279" s="7">
        <v>63.306221820937594</v>
      </c>
      <c r="D279" s="7">
        <v>68.401438241250716</v>
      </c>
      <c r="E279" s="7">
        <v>75.605450680849756</v>
      </c>
      <c r="F279" s="7">
        <v>78.388127097939901</v>
      </c>
      <c r="G279" s="7">
        <v>79.002723800759298</v>
      </c>
      <c r="H279" s="7">
        <v>81.858499008130266</v>
      </c>
      <c r="I279" s="7">
        <v>87.639296029595627</v>
      </c>
      <c r="J279" s="7">
        <v>87.348436400025321</v>
      </c>
      <c r="K279" s="7">
        <v>86.345174388845805</v>
      </c>
      <c r="L279" s="7">
        <v>86.01446004257464</v>
      </c>
      <c r="M279" s="7">
        <v>81.73997041379647</v>
      </c>
      <c r="N279" s="7">
        <v>81.240989100010069</v>
      </c>
      <c r="O279" s="1"/>
    </row>
    <row r="280" spans="1:15" ht="14.1" x14ac:dyDescent="0.5">
      <c r="A280" s="1" t="s">
        <v>73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5" ht="14.1" x14ac:dyDescent="0.5">
      <c r="A281" s="1"/>
    </row>
    <row r="282" spans="1:15" ht="15" x14ac:dyDescent="0.5">
      <c r="A282" s="2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6" spans="1:15" ht="15" x14ac:dyDescent="0.5">
      <c r="A286" s="4"/>
    </row>
    <row r="287" spans="1:15" ht="15" x14ac:dyDescent="0.5">
      <c r="A287" s="4"/>
    </row>
    <row r="288" spans="1:15" ht="15" x14ac:dyDescent="0.5">
      <c r="A288" s="4"/>
    </row>
    <row r="289" spans="1:1" ht="15" x14ac:dyDescent="0.5">
      <c r="A289" s="4"/>
    </row>
    <row r="290" spans="1:1" ht="15" x14ac:dyDescent="0.5">
      <c r="A290" s="4"/>
    </row>
    <row r="291" spans="1:1" ht="15" x14ac:dyDescent="0.5">
      <c r="A291" s="4"/>
    </row>
    <row r="292" spans="1:1" ht="15" x14ac:dyDescent="0.5">
      <c r="A292" s="4"/>
    </row>
    <row r="293" spans="1:1" ht="15" x14ac:dyDescent="0.5">
      <c r="A293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Seasonal Results WTMP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Pacheco, Mechele V</dc:creator>
  <cp:lastModifiedBy>Pacheco, Mechele V</cp:lastModifiedBy>
  <dcterms:created xsi:type="dcterms:W3CDTF">2025-03-31T22:50:54Z</dcterms:created>
  <dcterms:modified xsi:type="dcterms:W3CDTF">2025-04-08T18:02:37Z</dcterms:modified>
</cp:coreProperties>
</file>