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\Downloads\"/>
    </mc:Choice>
  </mc:AlternateContent>
  <xr:revisionPtr revIDLastSave="0" documentId="13_ncr:1_{07B0AB6F-6E4A-4D9B-A648-A5AB6D71034A}" xr6:coauthVersionLast="47" xr6:coauthVersionMax="47" xr10:uidLastSave="{00000000-0000-0000-0000-000000000000}"/>
  <bookViews>
    <workbookView xWindow="31320" yWindow="165" windowWidth="23565" windowHeight="14925" xr2:uid="{4E3204E4-3760-40F3-9F0A-1C5C44C4F104}"/>
  </bookViews>
  <sheets>
    <sheet name="Seasonal Results" sheetId="1" r:id="rId1"/>
  </sheets>
  <externalReferences>
    <externalReference r:id="rId2"/>
  </externalReferences>
  <definedNames>
    <definedName name="_xlnm.Print_Area" localSheetId="0">'Seasonal Results'!$A$263:$N$280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7" i="1" l="1"/>
  <c r="C156" i="1" l="1"/>
  <c r="C155" i="1"/>
  <c r="C153" i="1"/>
  <c r="C152" i="1"/>
  <c r="C151" i="1"/>
  <c r="C150" i="1"/>
  <c r="C149" i="1"/>
  <c r="C6" i="1"/>
  <c r="C46" i="1"/>
  <c r="C40" i="1"/>
  <c r="C76" i="1"/>
  <c r="C74" i="1"/>
  <c r="C73" i="1"/>
  <c r="C72" i="1"/>
  <c r="C39" i="1"/>
  <c r="C38" i="1"/>
  <c r="C5" i="1"/>
  <c r="C9" i="1"/>
  <c r="C7" i="1"/>
  <c r="N279" i="1" l="1"/>
  <c r="M279" i="1"/>
  <c r="L279" i="1"/>
  <c r="K279" i="1"/>
  <c r="J279" i="1"/>
  <c r="I279" i="1"/>
  <c r="H279" i="1"/>
  <c r="G279" i="1"/>
  <c r="F279" i="1"/>
  <c r="E279" i="1"/>
  <c r="D279" i="1"/>
  <c r="C279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N156" i="1"/>
  <c r="M156" i="1"/>
  <c r="L156" i="1"/>
  <c r="K156" i="1"/>
  <c r="J156" i="1"/>
  <c r="I156" i="1"/>
  <c r="H156" i="1"/>
  <c r="G156" i="1"/>
  <c r="F156" i="1"/>
  <c r="E156" i="1"/>
  <c r="D156" i="1"/>
  <c r="N155" i="1"/>
  <c r="M155" i="1"/>
  <c r="L155" i="1"/>
  <c r="K155" i="1"/>
  <c r="J155" i="1"/>
  <c r="I155" i="1"/>
  <c r="H155" i="1"/>
  <c r="G155" i="1"/>
  <c r="F155" i="1"/>
  <c r="E155" i="1"/>
  <c r="D155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N153" i="1"/>
  <c r="M153" i="1"/>
  <c r="L153" i="1"/>
  <c r="K153" i="1"/>
  <c r="J153" i="1"/>
  <c r="I153" i="1"/>
  <c r="H153" i="1"/>
  <c r="G153" i="1"/>
  <c r="F153" i="1"/>
  <c r="E153" i="1"/>
  <c r="D153" i="1"/>
  <c r="N152" i="1"/>
  <c r="M152" i="1"/>
  <c r="L152" i="1"/>
  <c r="K152" i="1"/>
  <c r="J152" i="1"/>
  <c r="I152" i="1"/>
  <c r="H152" i="1"/>
  <c r="G152" i="1"/>
  <c r="F152" i="1"/>
  <c r="E152" i="1"/>
  <c r="D152" i="1"/>
  <c r="N151" i="1"/>
  <c r="M151" i="1"/>
  <c r="L151" i="1"/>
  <c r="K151" i="1"/>
  <c r="J151" i="1"/>
  <c r="I151" i="1"/>
  <c r="H151" i="1"/>
  <c r="G151" i="1"/>
  <c r="F151" i="1"/>
  <c r="E151" i="1"/>
  <c r="D151" i="1"/>
  <c r="N150" i="1"/>
  <c r="M150" i="1"/>
  <c r="L150" i="1"/>
  <c r="K150" i="1"/>
  <c r="J150" i="1"/>
  <c r="I150" i="1"/>
  <c r="H150" i="1"/>
  <c r="G150" i="1"/>
  <c r="F150" i="1"/>
  <c r="E150" i="1"/>
  <c r="D150" i="1"/>
  <c r="N149" i="1"/>
  <c r="M149" i="1"/>
  <c r="L149" i="1"/>
  <c r="K149" i="1"/>
  <c r="J149" i="1"/>
  <c r="I149" i="1"/>
  <c r="H149" i="1"/>
  <c r="G149" i="1"/>
  <c r="F149" i="1"/>
  <c r="E149" i="1"/>
  <c r="D149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N84" i="1"/>
  <c r="M84" i="1"/>
  <c r="L84" i="1"/>
  <c r="K84" i="1"/>
  <c r="J84" i="1"/>
  <c r="I84" i="1"/>
  <c r="H84" i="1"/>
  <c r="G84" i="1"/>
  <c r="F84" i="1"/>
  <c r="E84" i="1"/>
  <c r="D84" i="1"/>
  <c r="C84" i="1"/>
  <c r="N83" i="1"/>
  <c r="M83" i="1"/>
  <c r="L83" i="1"/>
  <c r="K83" i="1"/>
  <c r="J83" i="1"/>
  <c r="I83" i="1"/>
  <c r="H83" i="1"/>
  <c r="G83" i="1"/>
  <c r="F83" i="1"/>
  <c r="E83" i="1"/>
  <c r="D83" i="1"/>
  <c r="C83" i="1"/>
  <c r="N82" i="1"/>
  <c r="M82" i="1"/>
  <c r="L82" i="1"/>
  <c r="K82" i="1"/>
  <c r="J82" i="1"/>
  <c r="I82" i="1"/>
  <c r="H82" i="1"/>
  <c r="G82" i="1"/>
  <c r="F82" i="1"/>
  <c r="E82" i="1"/>
  <c r="D82" i="1"/>
  <c r="C82" i="1"/>
  <c r="N81" i="1"/>
  <c r="M81" i="1"/>
  <c r="L81" i="1"/>
  <c r="K81" i="1"/>
  <c r="J81" i="1"/>
  <c r="I81" i="1"/>
  <c r="H81" i="1"/>
  <c r="G81" i="1"/>
  <c r="F81" i="1"/>
  <c r="E81" i="1"/>
  <c r="D81" i="1"/>
  <c r="C81" i="1"/>
  <c r="N80" i="1"/>
  <c r="M80" i="1"/>
  <c r="L80" i="1"/>
  <c r="K80" i="1"/>
  <c r="J80" i="1"/>
  <c r="I80" i="1"/>
  <c r="H80" i="1"/>
  <c r="G80" i="1"/>
  <c r="F80" i="1"/>
  <c r="E80" i="1"/>
  <c r="D80" i="1"/>
  <c r="C80" i="1"/>
  <c r="N79" i="1"/>
  <c r="M79" i="1"/>
  <c r="L79" i="1"/>
  <c r="K79" i="1"/>
  <c r="J79" i="1"/>
  <c r="I79" i="1"/>
  <c r="H79" i="1"/>
  <c r="G79" i="1"/>
  <c r="F79" i="1"/>
  <c r="E79" i="1"/>
  <c r="D79" i="1"/>
  <c r="C79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 s="1"/>
  <c r="N77" i="1"/>
  <c r="M77" i="1"/>
  <c r="L77" i="1"/>
  <c r="K77" i="1"/>
  <c r="J77" i="1"/>
  <c r="I77" i="1"/>
  <c r="H77" i="1"/>
  <c r="G77" i="1"/>
  <c r="F77" i="1"/>
  <c r="E77" i="1"/>
  <c r="D77" i="1"/>
  <c r="C77" i="1"/>
  <c r="N76" i="1"/>
  <c r="M76" i="1"/>
  <c r="L76" i="1"/>
  <c r="K76" i="1"/>
  <c r="J76" i="1"/>
  <c r="I76" i="1"/>
  <c r="H76" i="1"/>
  <c r="G76" i="1"/>
  <c r="F76" i="1"/>
  <c r="E76" i="1"/>
  <c r="D76" i="1"/>
  <c r="N75" i="1"/>
  <c r="M75" i="1"/>
  <c r="L75" i="1"/>
  <c r="K75" i="1"/>
  <c r="J75" i="1"/>
  <c r="I75" i="1"/>
  <c r="H75" i="1"/>
  <c r="G75" i="1"/>
  <c r="F75" i="1"/>
  <c r="E75" i="1"/>
  <c r="D75" i="1"/>
  <c r="C75" i="1"/>
  <c r="N74" i="1"/>
  <c r="M74" i="1"/>
  <c r="L74" i="1"/>
  <c r="K74" i="1"/>
  <c r="J74" i="1"/>
  <c r="I74" i="1"/>
  <c r="H74" i="1"/>
  <c r="G74" i="1"/>
  <c r="F74" i="1"/>
  <c r="E74" i="1"/>
  <c r="D74" i="1"/>
  <c r="N73" i="1"/>
  <c r="M73" i="1"/>
  <c r="L73" i="1"/>
  <c r="K73" i="1"/>
  <c r="J73" i="1"/>
  <c r="I73" i="1"/>
  <c r="H73" i="1"/>
  <c r="G73" i="1"/>
  <c r="F73" i="1"/>
  <c r="E73" i="1"/>
  <c r="D73" i="1"/>
  <c r="N72" i="1"/>
  <c r="M72" i="1"/>
  <c r="L72" i="1"/>
  <c r="K72" i="1"/>
  <c r="J72" i="1"/>
  <c r="I72" i="1"/>
  <c r="H72" i="1"/>
  <c r="G72" i="1"/>
  <c r="E72" i="1"/>
  <c r="D72" i="1"/>
  <c r="N47" i="1"/>
  <c r="M47" i="1"/>
  <c r="L47" i="1"/>
  <c r="K47" i="1"/>
  <c r="J47" i="1"/>
  <c r="I47" i="1"/>
  <c r="H47" i="1"/>
  <c r="G47" i="1"/>
  <c r="F47" i="1"/>
  <c r="E47" i="1"/>
  <c r="D47" i="1"/>
  <c r="C47" i="1"/>
  <c r="N46" i="1"/>
  <c r="M46" i="1"/>
  <c r="L46" i="1"/>
  <c r="K46" i="1"/>
  <c r="J46" i="1"/>
  <c r="I46" i="1"/>
  <c r="H46" i="1"/>
  <c r="G46" i="1"/>
  <c r="F46" i="1"/>
  <c r="E46" i="1"/>
  <c r="D46" i="1"/>
  <c r="N45" i="1"/>
  <c r="M45" i="1"/>
  <c r="L45" i="1"/>
  <c r="K45" i="1"/>
  <c r="J45" i="1"/>
  <c r="I45" i="1"/>
  <c r="H45" i="1"/>
  <c r="G45" i="1"/>
  <c r="F45" i="1"/>
  <c r="E45" i="1"/>
  <c r="D45" i="1"/>
  <c r="C45" i="1"/>
  <c r="N44" i="1"/>
  <c r="M44" i="1"/>
  <c r="L44" i="1"/>
  <c r="K44" i="1"/>
  <c r="J44" i="1"/>
  <c r="I44" i="1"/>
  <c r="H44" i="1"/>
  <c r="G44" i="1"/>
  <c r="F44" i="1"/>
  <c r="E44" i="1"/>
  <c r="D44" i="1"/>
  <c r="C44" i="1"/>
  <c r="N43" i="1"/>
  <c r="M43" i="1"/>
  <c r="L43" i="1"/>
  <c r="K43" i="1"/>
  <c r="J43" i="1"/>
  <c r="I43" i="1"/>
  <c r="H43" i="1"/>
  <c r="G43" i="1"/>
  <c r="F43" i="1"/>
  <c r="E43" i="1"/>
  <c r="D43" i="1"/>
  <c r="C43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 s="1"/>
  <c r="N41" i="1"/>
  <c r="M41" i="1"/>
  <c r="L41" i="1"/>
  <c r="K41" i="1"/>
  <c r="J41" i="1"/>
  <c r="I41" i="1"/>
  <c r="H41" i="1"/>
  <c r="G41" i="1"/>
  <c r="F41" i="1"/>
  <c r="E41" i="1"/>
  <c r="D41" i="1"/>
  <c r="C41" i="1"/>
  <c r="N40" i="1"/>
  <c r="M40" i="1"/>
  <c r="L40" i="1"/>
  <c r="K40" i="1"/>
  <c r="J40" i="1"/>
  <c r="I40" i="1"/>
  <c r="H40" i="1"/>
  <c r="G40" i="1"/>
  <c r="F40" i="1"/>
  <c r="E40" i="1"/>
  <c r="D40" i="1"/>
  <c r="N39" i="1"/>
  <c r="M39" i="1"/>
  <c r="L39" i="1"/>
  <c r="K39" i="1"/>
  <c r="J39" i="1"/>
  <c r="I39" i="1"/>
  <c r="H39" i="1"/>
  <c r="G39" i="1"/>
  <c r="F39" i="1"/>
  <c r="E39" i="1"/>
  <c r="D39" i="1"/>
  <c r="N38" i="1"/>
  <c r="M38" i="1"/>
  <c r="L38" i="1"/>
  <c r="K38" i="1"/>
  <c r="J38" i="1"/>
  <c r="I38" i="1"/>
  <c r="H38" i="1"/>
  <c r="G38" i="1"/>
  <c r="F38" i="1"/>
  <c r="E38" i="1"/>
  <c r="D38" i="1"/>
  <c r="N13" i="1"/>
  <c r="M13" i="1"/>
  <c r="L13" i="1"/>
  <c r="K13" i="1"/>
  <c r="J13" i="1"/>
  <c r="I13" i="1"/>
  <c r="H13" i="1"/>
  <c r="G13" i="1"/>
  <c r="F13" i="1"/>
  <c r="E13" i="1"/>
  <c r="D13" i="1"/>
  <c r="C13" i="1"/>
  <c r="N12" i="1"/>
  <c r="M12" i="1"/>
  <c r="L12" i="1"/>
  <c r="K12" i="1"/>
  <c r="J12" i="1"/>
  <c r="I12" i="1"/>
  <c r="H12" i="1"/>
  <c r="G12" i="1"/>
  <c r="F12" i="1"/>
  <c r="E12" i="1"/>
  <c r="D12" i="1"/>
  <c r="C12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 s="1"/>
  <c r="N10" i="1"/>
  <c r="M10" i="1"/>
  <c r="L10" i="1"/>
  <c r="K10" i="1"/>
  <c r="J10" i="1"/>
  <c r="I10" i="1"/>
  <c r="H10" i="1"/>
  <c r="G10" i="1"/>
  <c r="F10" i="1"/>
  <c r="E10" i="1"/>
  <c r="D10" i="1"/>
  <c r="N9" i="1"/>
  <c r="M9" i="1"/>
  <c r="L9" i="1"/>
  <c r="K9" i="1"/>
  <c r="J9" i="1"/>
  <c r="I9" i="1"/>
  <c r="H9" i="1"/>
  <c r="G9" i="1"/>
  <c r="F9" i="1"/>
  <c r="E9" i="1"/>
  <c r="D9" i="1"/>
  <c r="N8" i="1"/>
  <c r="M8" i="1"/>
  <c r="L8" i="1"/>
  <c r="K8" i="1"/>
  <c r="J8" i="1"/>
  <c r="I8" i="1"/>
  <c r="H8" i="1"/>
  <c r="G8" i="1"/>
  <c r="F8" i="1"/>
  <c r="E8" i="1"/>
  <c r="D8" i="1"/>
  <c r="C8" i="1"/>
  <c r="N7" i="1"/>
  <c r="M7" i="1"/>
  <c r="L7" i="1"/>
  <c r="K7" i="1"/>
  <c r="J7" i="1"/>
  <c r="I7" i="1"/>
  <c r="H7" i="1"/>
  <c r="G7" i="1"/>
  <c r="F7" i="1"/>
  <c r="E7" i="1"/>
  <c r="D7" i="1"/>
  <c r="N6" i="1"/>
  <c r="M6" i="1"/>
  <c r="L6" i="1"/>
  <c r="K6" i="1"/>
  <c r="J6" i="1"/>
  <c r="I6" i="1"/>
  <c r="H6" i="1"/>
  <c r="G6" i="1"/>
  <c r="F6" i="1"/>
  <c r="E6" i="1"/>
  <c r="D6" i="1"/>
  <c r="N5" i="1"/>
  <c r="M5" i="1"/>
  <c r="L5" i="1"/>
  <c r="K5" i="1"/>
  <c r="J5" i="1"/>
  <c r="I5" i="1"/>
  <c r="H5" i="1"/>
  <c r="G5" i="1"/>
  <c r="F5" i="1"/>
  <c r="E5" i="1"/>
  <c r="D5" i="1"/>
  <c r="N3" i="1"/>
  <c r="N187" i="1" s="1"/>
  <c r="M3" i="1"/>
  <c r="M187" i="1" s="1"/>
  <c r="L3" i="1"/>
  <c r="L111" i="1" s="1"/>
  <c r="K3" i="1"/>
  <c r="K147" i="1" s="1"/>
  <c r="J3" i="1"/>
  <c r="J147" i="1" s="1"/>
  <c r="I3" i="1"/>
  <c r="I70" i="1" s="1"/>
  <c r="H3" i="1"/>
  <c r="H70" i="1" s="1"/>
  <c r="G3" i="1"/>
  <c r="G147" i="1" s="1"/>
  <c r="F3" i="1"/>
  <c r="F70" i="1" s="1"/>
  <c r="E3" i="1"/>
  <c r="E229" i="1" s="1"/>
  <c r="D3" i="1"/>
  <c r="D229" i="1" s="1"/>
  <c r="C3" i="1"/>
  <c r="C147" i="1" s="1"/>
  <c r="M147" i="1" l="1"/>
  <c r="G268" i="1"/>
  <c r="G270" i="1" s="1"/>
  <c r="H268" i="1"/>
  <c r="H270" i="1" s="1"/>
  <c r="L268" i="1"/>
  <c r="L270" i="1" s="1"/>
  <c r="B235" i="1"/>
  <c r="I268" i="1"/>
  <c r="I270" i="1" s="1"/>
  <c r="C229" i="1"/>
  <c r="H187" i="1"/>
  <c r="G229" i="1"/>
  <c r="L187" i="1"/>
  <c r="H36" i="1"/>
  <c r="J268" i="1"/>
  <c r="J270" i="1" s="1"/>
  <c r="N268" i="1"/>
  <c r="N270" i="1" s="1"/>
  <c r="K268" i="1"/>
  <c r="K270" i="1" s="1"/>
  <c r="J111" i="1"/>
  <c r="M268" i="1"/>
  <c r="M270" i="1" s="1"/>
  <c r="G70" i="1"/>
  <c r="N111" i="1"/>
  <c r="K70" i="1"/>
  <c r="D263" i="1"/>
  <c r="L263" i="1"/>
  <c r="F268" i="1"/>
  <c r="F270" i="1" s="1"/>
  <c r="C70" i="1"/>
  <c r="C268" i="1"/>
  <c r="C270" i="1" s="1"/>
  <c r="L36" i="1"/>
  <c r="D268" i="1"/>
  <c r="D270" i="1" s="1"/>
  <c r="E268" i="1"/>
  <c r="E270" i="1" s="1"/>
  <c r="I147" i="1"/>
  <c r="J70" i="1"/>
  <c r="L147" i="1"/>
  <c r="F229" i="1"/>
  <c r="C263" i="1"/>
  <c r="L70" i="1"/>
  <c r="C111" i="1"/>
  <c r="N147" i="1"/>
  <c r="H229" i="1"/>
  <c r="E263" i="1"/>
  <c r="M70" i="1"/>
  <c r="D111" i="1"/>
  <c r="I229" i="1"/>
  <c r="F263" i="1"/>
  <c r="C36" i="1"/>
  <c r="N70" i="1"/>
  <c r="E111" i="1"/>
  <c r="C187" i="1"/>
  <c r="J229" i="1"/>
  <c r="G263" i="1"/>
  <c r="D36" i="1"/>
  <c r="F111" i="1"/>
  <c r="D187" i="1"/>
  <c r="K229" i="1"/>
  <c r="H263" i="1"/>
  <c r="E36" i="1"/>
  <c r="G111" i="1"/>
  <c r="E187" i="1"/>
  <c r="L229" i="1"/>
  <c r="I263" i="1"/>
  <c r="F36" i="1"/>
  <c r="H111" i="1"/>
  <c r="F187" i="1"/>
  <c r="M229" i="1"/>
  <c r="J263" i="1"/>
  <c r="G36" i="1"/>
  <c r="I111" i="1"/>
  <c r="D147" i="1"/>
  <c r="G187" i="1"/>
  <c r="N229" i="1"/>
  <c r="K263" i="1"/>
  <c r="I36" i="1"/>
  <c r="D70" i="1"/>
  <c r="K111" i="1"/>
  <c r="F147" i="1"/>
  <c r="I187" i="1"/>
  <c r="M263" i="1"/>
  <c r="J36" i="1"/>
  <c r="E70" i="1"/>
  <c r="J187" i="1"/>
  <c r="N263" i="1"/>
  <c r="E147" i="1"/>
  <c r="K36" i="1"/>
  <c r="M111" i="1"/>
  <c r="H147" i="1"/>
  <c r="K187" i="1"/>
  <c r="M36" i="1"/>
  <c r="N36" i="1"/>
</calcChain>
</file>

<file path=xl/sharedStrings.xml><?xml version="1.0" encoding="utf-8"?>
<sst xmlns="http://schemas.openxmlformats.org/spreadsheetml/2006/main" count="126" uniqueCount="93">
  <si>
    <t>View Results:</t>
  </si>
  <si>
    <t>Shasta</t>
  </si>
  <si>
    <t>Beginning Page</t>
  </si>
  <si>
    <t xml:space="preserve"> Trinity/Clair Engle</t>
  </si>
  <si>
    <t>Model Input</t>
  </si>
  <si>
    <t>Inflow</t>
  </si>
  <si>
    <t>Summay</t>
  </si>
  <si>
    <t>Est. Evap.</t>
  </si>
  <si>
    <t>Jan</t>
  </si>
  <si>
    <t>Total Release</t>
  </si>
  <si>
    <t>Feb</t>
  </si>
  <si>
    <t>River Rel. - cfs</t>
  </si>
  <si>
    <t>Mar</t>
  </si>
  <si>
    <t>River Rel. - TAF</t>
  </si>
  <si>
    <t>Apr</t>
  </si>
  <si>
    <t>Carr PP</t>
  </si>
  <si>
    <t>May</t>
  </si>
  <si>
    <t>Actual Storage</t>
  </si>
  <si>
    <t>Jun</t>
  </si>
  <si>
    <t>Elevation (feet)</t>
  </si>
  <si>
    <t>July</t>
  </si>
  <si>
    <t>Area (acres)</t>
  </si>
  <si>
    <t>Aug</t>
  </si>
  <si>
    <t>Sep</t>
  </si>
  <si>
    <t>Oct</t>
  </si>
  <si>
    <t>Nov</t>
  </si>
  <si>
    <t>Dec</t>
  </si>
  <si>
    <t>Whiskeytown</t>
  </si>
  <si>
    <t>Spring Cr.</t>
  </si>
  <si>
    <t>Storage</t>
  </si>
  <si>
    <t>Clear Creek-cfs</t>
  </si>
  <si>
    <t>Clear Creek-taf</t>
  </si>
  <si>
    <t>CC AFRP</t>
  </si>
  <si>
    <t>Total Shasta Release</t>
  </si>
  <si>
    <t>Keswick-cfs</t>
  </si>
  <si>
    <t>Keswick-taf</t>
  </si>
  <si>
    <t>Keswick Target (cfs)</t>
  </si>
  <si>
    <t>Wilkin's Target (cfs)</t>
  </si>
  <si>
    <t>Keswick to Wilkins Acc/dep (cfs)</t>
  </si>
  <si>
    <t>Flow@Wilkin's Slough (cfs)</t>
  </si>
  <si>
    <t>Sac AFRP</t>
  </si>
  <si>
    <t>Oroville</t>
  </si>
  <si>
    <t>Total Releases - TAF</t>
  </si>
  <si>
    <t xml:space="preserve">Storage </t>
  </si>
  <si>
    <t>Feather Minimum (cfs)</t>
  </si>
  <si>
    <t>Feather - Target (TAF)</t>
  </si>
  <si>
    <t>-cfs</t>
  </si>
  <si>
    <t>Actual Feather Release (TAF)</t>
  </si>
  <si>
    <t>-TAF</t>
  </si>
  <si>
    <t>Thermolito - Demand TAF</t>
  </si>
  <si>
    <t>-Deliveries</t>
  </si>
  <si>
    <t>Folsom</t>
  </si>
  <si>
    <t>Pumping (FP)</t>
  </si>
  <si>
    <t>FS Canal (FSC)</t>
  </si>
  <si>
    <t>Nimbus Minimum (cfs)</t>
  </si>
  <si>
    <t>Nimbus Minimum (TAF)</t>
  </si>
  <si>
    <t>Actual Nimbus Release (TAF)</t>
  </si>
  <si>
    <t>Amer AFRP</t>
  </si>
  <si>
    <t>New Melones</t>
  </si>
  <si>
    <t>Tull. Stor.</t>
  </si>
  <si>
    <t>Goodwin - cfs</t>
  </si>
  <si>
    <t>Goodwin - TAF</t>
  </si>
  <si>
    <t>OID/SSJID</t>
  </si>
  <si>
    <t>CVP Contractors</t>
  </si>
  <si>
    <t>S. J. above Stan - TAF</t>
  </si>
  <si>
    <t>S. J. @ VNS. - cfs</t>
  </si>
  <si>
    <t xml:space="preserve"> SAN LUIS/O'NEILL</t>
  </si>
  <si>
    <t>F SL P/G.</t>
  </si>
  <si>
    <t>Federal Storage</t>
  </si>
  <si>
    <t>State SL P/G.</t>
  </si>
  <si>
    <t>State Storage</t>
  </si>
  <si>
    <t>Total Storage</t>
  </si>
  <si>
    <t>Elevation (ft)</t>
  </si>
  <si>
    <t>DELTA</t>
  </si>
  <si>
    <t>Federal Banks</t>
  </si>
  <si>
    <t>Contra Costa</t>
  </si>
  <si>
    <t>Tracy</t>
  </si>
  <si>
    <t>Total Federal Exports</t>
  </si>
  <si>
    <t>State Banks Pumping</t>
  </si>
  <si>
    <t xml:space="preserve">Total Exports </t>
  </si>
  <si>
    <t>USBR Monthly COA Account</t>
  </si>
  <si>
    <t>Accumulated COA</t>
  </si>
  <si>
    <t>Computed Delta Outflow (NDOI)</t>
  </si>
  <si>
    <t>Excess Outflow (EO)</t>
  </si>
  <si>
    <t>Freeport Flow (FF) cfs</t>
  </si>
  <si>
    <t>X-channel Gates</t>
  </si>
  <si>
    <t>% Inflow Diverted</t>
  </si>
  <si>
    <t>% Inflow Diverted Std</t>
  </si>
  <si>
    <t>X2 Location (km from GG)</t>
  </si>
  <si>
    <t>X2 location Std.</t>
  </si>
  <si>
    <t>Trinity</t>
  </si>
  <si>
    <t>San Luis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</si>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</sst>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"/>
    <numFmt numFmtId="165" formatCode="0.0"/>
    <numFmt numFmtId="166" formatCode="#,##0.000"/>
    <numFmt numFmtId="167" formatCode="0.000000000000"/>
    <numFmt numFmtId="168" formatCode="0.000"/>
  </numFmts>
  <fonts count="8" x14ac:knownFonts="1">
    <font>
      <sz val="10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b/>
      <sz val="10"/>
      <name val="Arial"/>
      <family val="2"/>
    </font>
    <font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0" fontId="5" fillId="0" borderId="0" xfId="0" applyFont="1"/>
    <xf numFmtId="165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4" fillId="0" borderId="0" xfId="0" applyFont="1"/>
    <xf numFmtId="0" fontId="6" fillId="0" borderId="0" xfId="0" applyFont="1" applyBorder="1"/>
    <xf numFmtId="0" fontId="2" fillId="0" borderId="0" xfId="0" applyFont="1" applyBorder="1"/>
    <xf numFmtId="0" fontId="3" fillId="0" borderId="0" xfId="0" applyFont="1" applyAlignment="1">
      <alignment horizontal="left" wrapText="1"/>
    </xf>
    <xf numFmtId="166" fontId="2" fillId="0" borderId="0" xfId="0" applyNumberFormat="1" applyFont="1"/>
    <xf numFmtId="0" fontId="7" fillId="0" borderId="0" xfId="0" applyFont="1"/>
    <xf numFmtId="3" fontId="2" fillId="0" borderId="0" xfId="0" applyNumberFormat="1" applyFont="1" applyAlignment="1">
      <alignment horizontal="right" wrapText="1"/>
    </xf>
    <xf numFmtId="0" fontId="2" fillId="2" borderId="0" xfId="0" applyFont="1" applyFill="1"/>
    <xf numFmtId="3" fontId="2" fillId="2" borderId="0" xfId="0" applyNumberFormat="1" applyFont="1" applyFill="1"/>
    <xf numFmtId="0" fontId="2" fillId="0" borderId="0" xfId="0" applyFont="1" applyAlignment="1">
      <alignment horizontal="center"/>
    </xf>
    <xf numFmtId="9" fontId="2" fillId="0" borderId="0" xfId="0" applyNumberFormat="1" applyFont="1"/>
    <xf numFmtId="9" fontId="2" fillId="0" borderId="0" xfId="1" applyFont="1"/>
    <xf numFmtId="0" fontId="4" fillId="0" borderId="0" xfId="0" applyFont="1" applyAlignment="1">
      <alignment horizontal="left" wrapText="1"/>
    </xf>
    <xf numFmtId="167" fontId="4" fillId="0" borderId="0" xfId="0" applyNumberFormat="1" applyFont="1"/>
    <xf numFmtId="15" fontId="2" fillId="0" borderId="0" xfId="0" applyNumberFormat="1" applyFont="1"/>
    <xf numFmtId="2" fontId="2" fillId="0" borderId="0" xfId="0" applyNumberFormat="1" applyFont="1"/>
    <xf numFmtId="168" fontId="2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Trinity Reservoir</a:t>
            </a:r>
          </a:p>
        </c:rich>
      </c:tx>
      <c:layout>
        <c:manualLayout>
          <c:xMode val="edge"/>
          <c:yMode val="edge"/>
          <c:x val="0.44086077949933694"/>
          <c:y val="3.14764891676675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0931952960448323E-2"/>
          <c:y val="0.14285714285714296"/>
          <c:w val="0.84856705078741956"/>
          <c:h val="0.6731234866828093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Results'!$C$3:$N$3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Results'!$C$5:$N$5</c:f>
              <c:numCache>
                <c:formatCode>General</c:formatCode>
                <c:ptCount val="12"/>
                <c:pt idx="0">
                  <c:v>91</c:v>
                </c:pt>
                <c:pt idx="1">
                  <c:v>270</c:v>
                </c:pt>
                <c:pt idx="2">
                  <c:v>110</c:v>
                </c:pt>
                <c:pt idx="3">
                  <c:v>30</c:v>
                </c:pt>
                <c:pt idx="4">
                  <c:v>20</c:v>
                </c:pt>
                <c:pt idx="5">
                  <c:v>10</c:v>
                </c:pt>
                <c:pt idx="6">
                  <c:v>12</c:v>
                </c:pt>
                <c:pt idx="7">
                  <c:v>22</c:v>
                </c:pt>
                <c:pt idx="8">
                  <c:v>41</c:v>
                </c:pt>
                <c:pt idx="9">
                  <c:v>33</c:v>
                </c:pt>
                <c:pt idx="10">
                  <c:v>55</c:v>
                </c:pt>
                <c:pt idx="11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6B-4F83-97DB-A6567C4B389B}"/>
            </c:ext>
          </c:extLst>
        </c:ser>
        <c:ser>
          <c:idx val="0"/>
          <c:order val="1"/>
          <c:tx>
            <c:v>Releases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Results'!$C$3:$N$3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Results'!$C$7:$N$7</c:f>
              <c:numCache>
                <c:formatCode>0.0</c:formatCode>
                <c:ptCount val="12"/>
                <c:pt idx="0">
                  <c:v>74.946666666666673</c:v>
                </c:pt>
                <c:pt idx="1">
                  <c:v>218.67830793499999</c:v>
                </c:pt>
                <c:pt idx="2">
                  <c:v>119.35126210500005</c:v>
                </c:pt>
                <c:pt idx="3">
                  <c:v>124.86613362</c:v>
                </c:pt>
                <c:pt idx="4">
                  <c:v>133.195009755</c:v>
                </c:pt>
                <c:pt idx="5">
                  <c:v>131.59760697499999</c:v>
                </c:pt>
                <c:pt idx="6">
                  <c:v>30.994213704999925</c:v>
                </c:pt>
                <c:pt idx="7">
                  <c:v>24.182679123</c:v>
                </c:pt>
                <c:pt idx="8">
                  <c:v>19.010421628</c:v>
                </c:pt>
                <c:pt idx="9">
                  <c:v>19.227772485000028</c:v>
                </c:pt>
                <c:pt idx="10">
                  <c:v>17.160972805999997</c:v>
                </c:pt>
                <c:pt idx="11">
                  <c:v>19.349103391000003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6B-4F83-97DB-A6567C4B3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7541776"/>
        <c:axId val="-137534160"/>
      </c:barChart>
      <c:lineChart>
        <c:grouping val="standard"/>
        <c:varyColors val="0"/>
        <c:ser>
          <c:idx val="2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'Seasonal Results'!$C$11:$N$11</c:f>
              <c:numCache>
                <c:formatCode>0.0</c:formatCode>
                <c:ptCount val="12"/>
                <c:pt idx="0">
                  <c:v>1987.1854146855173</c:v>
                </c:pt>
                <c:pt idx="1">
                  <c:v>2031.4907337505176</c:v>
                </c:pt>
                <c:pt idx="2">
                  <c:v>2013.9752509305174</c:v>
                </c:pt>
                <c:pt idx="3">
                  <c:v>1908.4276256705173</c:v>
                </c:pt>
                <c:pt idx="4">
                  <c:v>1785.6423457405174</c:v>
                </c:pt>
                <c:pt idx="5">
                  <c:v>1656.3877075655173</c:v>
                </c:pt>
                <c:pt idx="6">
                  <c:v>1633.7221426805172</c:v>
                </c:pt>
                <c:pt idx="7">
                  <c:v>1629.765914437517</c:v>
                </c:pt>
                <c:pt idx="8">
                  <c:v>1650.6455164895171</c:v>
                </c:pt>
                <c:pt idx="9">
                  <c:v>1662.416190879517</c:v>
                </c:pt>
                <c:pt idx="10">
                  <c:v>1698.620795953517</c:v>
                </c:pt>
                <c:pt idx="11">
                  <c:v>1764.8047204075172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6B-4F83-97DB-A6567C4B3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7534704"/>
        <c:axId val="-137531984"/>
      </c:lineChart>
      <c:catAx>
        <c:axId val="-137541776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341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1375341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336917562724002E-2"/>
              <c:y val="0.343825665859564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41776"/>
        <c:crosses val="autoZero"/>
        <c:crossBetween val="between"/>
      </c:valAx>
      <c:catAx>
        <c:axId val="-137534704"/>
        <c:scaling>
          <c:orientation val="minMax"/>
        </c:scaling>
        <c:delete val="1"/>
        <c:axPos val="b"/>
        <c:majorTickMark val="out"/>
        <c:minorTickMark val="none"/>
        <c:tickLblPos val="none"/>
        <c:crossAx val="-137531984"/>
        <c:crosses val="autoZero"/>
        <c:auto val="0"/>
        <c:lblAlgn val="ctr"/>
        <c:lblOffset val="100"/>
        <c:noMultiLvlLbl val="0"/>
      </c:catAx>
      <c:valAx>
        <c:axId val="-13753198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595066745689095"/>
              <c:y val="0.3970949394037611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3470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6706220127159328"/>
          <c:y val="0.9083337953357925"/>
          <c:w val="0.2023726965185588"/>
          <c:h val="6.458336618213206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Whiskeytown Reservior</a:t>
            </a:r>
          </a:p>
        </c:rich>
      </c:tx>
      <c:layout>
        <c:manualLayout>
          <c:xMode val="edge"/>
          <c:yMode val="edge"/>
          <c:x val="0.41467917061331516"/>
          <c:y val="3.1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19748729974402E-2"/>
          <c:y val="0.13221153846153846"/>
          <c:w val="0.86776937321490255"/>
          <c:h val="0.6875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Results'!$C$36:$N$36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Results'!$C$38:$N$38</c:f>
              <c:numCache>
                <c:formatCode>General</c:formatCode>
                <c:ptCount val="12"/>
                <c:pt idx="0" formatCode="0.00">
                  <c:v>14.933333333333334</c:v>
                </c:pt>
                <c:pt idx="1">
                  <c:v>16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6</c:v>
                </c:pt>
                <c:pt idx="8">
                  <c:v>12</c:v>
                </c:pt>
                <c:pt idx="9">
                  <c:v>12</c:v>
                </c:pt>
                <c:pt idx="10">
                  <c:v>11</c:v>
                </c:pt>
                <c:pt idx="1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3-4539-BDFC-FE73D220FF16}"/>
            </c:ext>
          </c:extLst>
        </c:ser>
        <c:ser>
          <c:idx val="0"/>
          <c:order val="1"/>
          <c:tx>
            <c:v>Releases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Results'!$C$36:$N$36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Results'!$C$40:$N$40</c:f>
              <c:numCache>
                <c:formatCode>0.0</c:formatCode>
                <c:ptCount val="12"/>
                <c:pt idx="0">
                  <c:v>5.5533333333333328</c:v>
                </c:pt>
                <c:pt idx="1">
                  <c:v>17.888642999999998</c:v>
                </c:pt>
                <c:pt idx="2">
                  <c:v>14.39658</c:v>
                </c:pt>
                <c:pt idx="3">
                  <c:v>79.220950000000002</c:v>
                </c:pt>
                <c:pt idx="4">
                  <c:v>79.220950000000002</c:v>
                </c:pt>
                <c:pt idx="5">
                  <c:v>78.923500000000004</c:v>
                </c:pt>
                <c:pt idx="6">
                  <c:v>42.294600000000003</c:v>
                </c:pt>
                <c:pt idx="7">
                  <c:v>11.898</c:v>
                </c:pt>
                <c:pt idx="8">
                  <c:v>12.294599999999999</c:v>
                </c:pt>
                <c:pt idx="9">
                  <c:v>12.294599999999999</c:v>
                </c:pt>
                <c:pt idx="10">
                  <c:v>11.104799999999999</c:v>
                </c:pt>
                <c:pt idx="11">
                  <c:v>22.314699000000001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73-4539-BDFC-FE73D220F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7539056"/>
        <c:axId val="-137537424"/>
      </c:barChart>
      <c:lineChart>
        <c:grouping val="standard"/>
        <c:varyColors val="0"/>
        <c:ser>
          <c:idx val="2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'Seasonal Results'!$C$42:$N$42</c:f>
              <c:numCache>
                <c:formatCode>0</c:formatCode>
                <c:ptCount val="12"/>
                <c:pt idx="0">
                  <c:v>237.9</c:v>
                </c:pt>
                <c:pt idx="1">
                  <c:v>237.89999999999998</c:v>
                </c:pt>
                <c:pt idx="2">
                  <c:v>237.9</c:v>
                </c:pt>
                <c:pt idx="3">
                  <c:v>237.9</c:v>
                </c:pt>
                <c:pt idx="4">
                  <c:v>237.90000000000003</c:v>
                </c:pt>
                <c:pt idx="5">
                  <c:v>237.90000000000006</c:v>
                </c:pt>
                <c:pt idx="6">
                  <c:v>205.7</c:v>
                </c:pt>
                <c:pt idx="7">
                  <c:v>205.7</c:v>
                </c:pt>
                <c:pt idx="8">
                  <c:v>205.69999999999996</c:v>
                </c:pt>
                <c:pt idx="9">
                  <c:v>205.7</c:v>
                </c:pt>
                <c:pt idx="10">
                  <c:v>205.7</c:v>
                </c:pt>
                <c:pt idx="11">
                  <c:v>205.7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73-4539-BDFC-FE73D220F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7536880"/>
        <c:axId val="-137535248"/>
      </c:lineChart>
      <c:catAx>
        <c:axId val="-137539056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3742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137537424"/>
        <c:scaling>
          <c:orientation val="minMax"/>
          <c:max val="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678977799951315E-2"/>
              <c:y val="0.3461538461538463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39056"/>
        <c:crosses val="autoZero"/>
        <c:crossBetween val="between"/>
        <c:majorUnit val="50"/>
        <c:minorUnit val="5"/>
      </c:valAx>
      <c:catAx>
        <c:axId val="-137536880"/>
        <c:scaling>
          <c:orientation val="minMax"/>
        </c:scaling>
        <c:delete val="1"/>
        <c:axPos val="b"/>
        <c:majorTickMark val="out"/>
        <c:minorTickMark val="none"/>
        <c:tickLblPos val="none"/>
        <c:crossAx val="-137535248"/>
        <c:crosses val="autoZero"/>
        <c:auto val="0"/>
        <c:lblAlgn val="ctr"/>
        <c:lblOffset val="100"/>
        <c:noMultiLvlLbl val="0"/>
      </c:catAx>
      <c:valAx>
        <c:axId val="-137535248"/>
        <c:scaling>
          <c:orientation val="minMax"/>
          <c:max val="260"/>
          <c:min val="20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51379941143724"/>
              <c:y val="0.3990389662830611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36880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8197451575249547"/>
          <c:y val="0.90376869080176681"/>
          <c:w val="0.20743934376071838"/>
          <c:h val="6.9037886102912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Shasta Reservoir</a:t>
            </a:r>
          </a:p>
        </c:rich>
      </c:tx>
      <c:layout>
        <c:manualLayout>
          <c:xMode val="edge"/>
          <c:yMode val="edge"/>
          <c:x val="0.43851716725454609"/>
          <c:y val="2.92970800524934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1538488731303374E-2"/>
          <c:y val="0.11328125000000004"/>
          <c:w val="0.860633864462787"/>
          <c:h val="0.73828125000000033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Results'!$C$70:$N$70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Results'!$C$72:$N$72</c:f>
              <c:numCache>
                <c:formatCode>General</c:formatCode>
                <c:ptCount val="12"/>
                <c:pt idx="0" formatCode="0.00">
                  <c:v>312.66666666666669</c:v>
                </c:pt>
                <c:pt idx="1">
                  <c:v>400</c:v>
                </c:pt>
                <c:pt idx="2" formatCode="0">
                  <c:v>270</c:v>
                </c:pt>
                <c:pt idx="3" formatCode="0">
                  <c:v>210</c:v>
                </c:pt>
                <c:pt idx="4" formatCode="0">
                  <c:v>168</c:v>
                </c:pt>
                <c:pt idx="5" formatCode="0">
                  <c:v>165</c:v>
                </c:pt>
                <c:pt idx="6">
                  <c:v>220</c:v>
                </c:pt>
                <c:pt idx="7">
                  <c:v>250</c:v>
                </c:pt>
                <c:pt idx="8">
                  <c:v>320</c:v>
                </c:pt>
                <c:pt idx="9">
                  <c:v>320</c:v>
                </c:pt>
                <c:pt idx="10">
                  <c:v>380</c:v>
                </c:pt>
                <c:pt idx="11">
                  <c:v>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69-4575-B30E-2EC163F23369}"/>
            </c:ext>
          </c:extLst>
        </c:ser>
        <c:ser>
          <c:idx val="0"/>
          <c:order val="1"/>
          <c:tx>
            <c:v>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Results'!$C$70:$N$70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Results'!$C$74:$N$74</c:f>
              <c:numCache>
                <c:formatCode>0</c:formatCode>
                <c:ptCount val="12"/>
                <c:pt idx="0">
                  <c:v>199.73333333333332</c:v>
                </c:pt>
                <c:pt idx="1">
                  <c:v>614.73</c:v>
                </c:pt>
                <c:pt idx="2">
                  <c:v>669.26250000000005</c:v>
                </c:pt>
                <c:pt idx="3">
                  <c:v>744.51724999999999</c:v>
                </c:pt>
                <c:pt idx="4">
                  <c:v>575.4665</c:v>
                </c:pt>
                <c:pt idx="5">
                  <c:v>405.92</c:v>
                </c:pt>
                <c:pt idx="6">
                  <c:v>308.10149999999999</c:v>
                </c:pt>
                <c:pt idx="7">
                  <c:v>237.96</c:v>
                </c:pt>
                <c:pt idx="8">
                  <c:v>245.892</c:v>
                </c:pt>
                <c:pt idx="9">
                  <c:v>245.892</c:v>
                </c:pt>
                <c:pt idx="10">
                  <c:v>222.09599999999998</c:v>
                </c:pt>
                <c:pt idx="11">
                  <c:v>245.892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69-4575-B30E-2EC163F23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7532528"/>
        <c:axId val="-137530352"/>
      </c:barChart>
      <c:lineChart>
        <c:grouping val="standard"/>
        <c:varyColors val="0"/>
        <c:ser>
          <c:idx val="4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cat>
            <c:numRef>
              <c:f>'Seasonal Results'!$C$70:$N$70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Results'!$C$78:$N$78</c:f>
              <c:numCache>
                <c:formatCode>0</c:formatCode>
                <c:ptCount val="12"/>
                <c:pt idx="0">
                  <c:v>4424.7512455399992</c:v>
                </c:pt>
                <c:pt idx="1">
                  <c:v>4195.1552196899993</c:v>
                </c:pt>
                <c:pt idx="2">
                  <c:v>3779.4550037799995</c:v>
                </c:pt>
                <c:pt idx="3">
                  <c:v>3224.7584968199994</c:v>
                </c:pt>
                <c:pt idx="4">
                  <c:v>2800.4725111419993</c:v>
                </c:pt>
                <c:pt idx="5">
                  <c:v>2546.6987606519992</c:v>
                </c:pt>
                <c:pt idx="6">
                  <c:v>2452.4912017419992</c:v>
                </c:pt>
                <c:pt idx="7">
                  <c:v>2461.6280793379992</c:v>
                </c:pt>
                <c:pt idx="8">
                  <c:v>2533.9191591939993</c:v>
                </c:pt>
                <c:pt idx="9">
                  <c:v>2604.6978386939995</c:v>
                </c:pt>
                <c:pt idx="10">
                  <c:v>2759.8545264739996</c:v>
                </c:pt>
                <c:pt idx="11">
                  <c:v>3029.7077420999999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69-4575-B30E-2EC163F23369}"/>
            </c:ext>
          </c:extLst>
        </c:ser>
        <c:ser>
          <c:idx val="2"/>
          <c:order val="3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Storages'!$B$23:$M$23</c:f>
              <c:numCache>
                <c:formatCode>General</c:formatCode>
                <c:ptCount val="12"/>
                <c:pt idx="0">
                  <c:v>4552</c:v>
                </c:pt>
                <c:pt idx="1">
                  <c:v>4552</c:v>
                </c:pt>
                <c:pt idx="2">
                  <c:v>4552</c:v>
                </c:pt>
                <c:pt idx="3">
                  <c:v>4552</c:v>
                </c:pt>
                <c:pt idx="4">
                  <c:v>4552</c:v>
                </c:pt>
                <c:pt idx="5">
                  <c:v>4552</c:v>
                </c:pt>
                <c:pt idx="6">
                  <c:v>3882</c:v>
                </c:pt>
                <c:pt idx="7">
                  <c:v>3252</c:v>
                </c:pt>
                <c:pt idx="8">
                  <c:v>3252</c:v>
                </c:pt>
                <c:pt idx="9">
                  <c:v>3872</c:v>
                </c:pt>
                <c:pt idx="10">
                  <c:v>4252</c:v>
                </c:pt>
                <c:pt idx="11">
                  <c:v>4552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69-4575-B30E-2EC163F23369}"/>
            </c:ext>
          </c:extLst>
        </c:ser>
        <c:ser>
          <c:idx val="3"/>
          <c:order val="4"/>
          <c:tx>
            <c:v>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'[1]Target Storages'!$B$22:$M$22</c:f>
              <c:numCache>
                <c:formatCode>General</c:formatCode>
                <c:ptCount val="12"/>
                <c:pt idx="0">
                  <c:v>3852</c:v>
                </c:pt>
                <c:pt idx="1">
                  <c:v>4322</c:v>
                </c:pt>
                <c:pt idx="2">
                  <c:v>4552</c:v>
                </c:pt>
                <c:pt idx="3">
                  <c:v>4552</c:v>
                </c:pt>
                <c:pt idx="4">
                  <c:v>4552</c:v>
                </c:pt>
                <c:pt idx="5">
                  <c:v>4552</c:v>
                </c:pt>
                <c:pt idx="6">
                  <c:v>3882</c:v>
                </c:pt>
                <c:pt idx="7">
                  <c:v>3252</c:v>
                </c:pt>
                <c:pt idx="8">
                  <c:v>3252</c:v>
                </c:pt>
                <c:pt idx="9">
                  <c:v>3252</c:v>
                </c:pt>
                <c:pt idx="10">
                  <c:v>3252</c:v>
                </c:pt>
                <c:pt idx="11">
                  <c:v>3412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469-4575-B30E-2EC163F23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7529808"/>
        <c:axId val="-137529264"/>
      </c:lineChart>
      <c:catAx>
        <c:axId val="-137532528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3035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1375303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466526525813241E-2"/>
              <c:y val="0.3789062500000001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32528"/>
        <c:crosses val="autoZero"/>
        <c:crossBetween val="between"/>
        <c:majorUnit val="200"/>
      </c:valAx>
      <c:catAx>
        <c:axId val="-137529808"/>
        <c:scaling>
          <c:orientation val="minMax"/>
        </c:scaling>
        <c:delete val="1"/>
        <c:axPos val="b"/>
        <c:numFmt formatCode="mmm" sourceLinked="1"/>
        <c:majorTickMark val="out"/>
        <c:minorTickMark val="none"/>
        <c:tickLblPos val="none"/>
        <c:crossAx val="-137529264"/>
        <c:crosses val="autoZero"/>
        <c:auto val="0"/>
        <c:lblAlgn val="ctr"/>
        <c:lblOffset val="100"/>
        <c:noMultiLvlLbl val="0"/>
      </c:catAx>
      <c:valAx>
        <c:axId val="-137529264"/>
        <c:scaling>
          <c:orientation val="minMax"/>
          <c:max val="50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564192824313311"/>
              <c:y val="0.421875000000000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29808"/>
        <c:crosses val="max"/>
        <c:crossBetween val="between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1712487213365875"/>
          <c:y val="0.92190343865943791"/>
          <c:w val="0.34883735934702431"/>
          <c:h val="5.602728080250728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Oroville Reservoir</a:t>
            </a:r>
          </a:p>
        </c:rich>
      </c:tx>
      <c:layout>
        <c:manualLayout>
          <c:xMode val="edge"/>
          <c:yMode val="edge"/>
          <c:x val="0.42588753048204753"/>
          <c:y val="3.0172413793103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6120959332638169E-2"/>
          <c:y val="0.10129310344827598"/>
          <c:w val="0.84462982273201292"/>
          <c:h val="0.74066091954022983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Results'!$C$111:$N$111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Results'!$C$113:$N$113</c:f>
              <c:numCache>
                <c:formatCode>0</c:formatCode>
                <c:ptCount val="12"/>
                <c:pt idx="0">
                  <c:v>528</c:v>
                </c:pt>
                <c:pt idx="1">
                  <c:v>436</c:v>
                </c:pt>
                <c:pt idx="2">
                  <c:v>211</c:v>
                </c:pt>
                <c:pt idx="3">
                  <c:v>130</c:v>
                </c:pt>
                <c:pt idx="4">
                  <c:v>102</c:v>
                </c:pt>
                <c:pt idx="5">
                  <c:v>113</c:v>
                </c:pt>
                <c:pt idx="6">
                  <c:v>120</c:v>
                </c:pt>
                <c:pt idx="7">
                  <c:v>120</c:v>
                </c:pt>
                <c:pt idx="8">
                  <c:v>160</c:v>
                </c:pt>
                <c:pt idx="9">
                  <c:v>170</c:v>
                </c:pt>
                <c:pt idx="10">
                  <c:v>200</c:v>
                </c:pt>
                <c:pt idx="11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18-41E4-A627-76B2E5A4A04D}"/>
            </c:ext>
          </c:extLst>
        </c:ser>
        <c:ser>
          <c:idx val="0"/>
          <c:order val="1"/>
          <c:tx>
            <c:v>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Results'!$C$111:$N$111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Results'!$C$115:$N$115</c:f>
              <c:numCache>
                <c:formatCode>0</c:formatCode>
                <c:ptCount val="12"/>
                <c:pt idx="0">
                  <c:v>215.77600000000001</c:v>
                </c:pt>
                <c:pt idx="1">
                  <c:v>352.12440000000004</c:v>
                </c:pt>
                <c:pt idx="2">
                  <c:v>320.80150000000003</c:v>
                </c:pt>
                <c:pt idx="3">
                  <c:v>683.85764999999992</c:v>
                </c:pt>
                <c:pt idx="4">
                  <c:v>610.12114999999994</c:v>
                </c:pt>
                <c:pt idx="5">
                  <c:v>539.81799999999998</c:v>
                </c:pt>
                <c:pt idx="6">
                  <c:v>273.41899999999998</c:v>
                </c:pt>
                <c:pt idx="7">
                  <c:v>235.10750000000002</c:v>
                </c:pt>
                <c:pt idx="8">
                  <c:v>203.57774999999998</c:v>
                </c:pt>
                <c:pt idx="9">
                  <c:v>130.84125</c:v>
                </c:pt>
                <c:pt idx="10">
                  <c:v>111.04799999999999</c:v>
                </c:pt>
                <c:pt idx="11">
                  <c:v>107.57774999999999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18-41E4-A627-76B2E5A4A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7528176"/>
        <c:axId val="-137543408"/>
      </c:barChart>
      <c:lineChart>
        <c:grouping val="standard"/>
        <c:varyColors val="0"/>
        <c:ser>
          <c:idx val="2"/>
          <c:order val="4"/>
          <c:tx>
            <c:v> 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'Seasonal Results'!$C$111:$N$111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'[1]Target Storages'!$B$24:$M$24</c:f>
              <c:numCache>
                <c:formatCode>General</c:formatCode>
                <c:ptCount val="12"/>
                <c:pt idx="0">
                  <c:v>3083</c:v>
                </c:pt>
                <c:pt idx="1">
                  <c:v>3388</c:v>
                </c:pt>
                <c:pt idx="2">
                  <c:v>3538</c:v>
                </c:pt>
                <c:pt idx="3">
                  <c:v>3538</c:v>
                </c:pt>
                <c:pt idx="4">
                  <c:v>3538</c:v>
                </c:pt>
                <c:pt idx="5">
                  <c:v>3148</c:v>
                </c:pt>
                <c:pt idx="6">
                  <c:v>2788</c:v>
                </c:pt>
                <c:pt idx="7">
                  <c:v>2788</c:v>
                </c:pt>
                <c:pt idx="8">
                  <c:v>2788</c:v>
                </c:pt>
                <c:pt idx="9">
                  <c:v>2788</c:v>
                </c:pt>
                <c:pt idx="10">
                  <c:v>2788</c:v>
                </c:pt>
                <c:pt idx="11">
                  <c:v>2788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18-41E4-A627-76B2E5A4A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7528176"/>
        <c:axId val="-137543408"/>
      </c:lineChart>
      <c:lineChart>
        <c:grouping val="standard"/>
        <c:varyColors val="0"/>
        <c:ser>
          <c:idx val="3"/>
          <c:order val="2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Storages'!$B$25:$M$25</c:f>
              <c:numCache>
                <c:formatCode>General</c:formatCode>
                <c:ptCount val="12"/>
                <c:pt idx="0">
                  <c:v>3458</c:v>
                </c:pt>
                <c:pt idx="1">
                  <c:v>3538</c:v>
                </c:pt>
                <c:pt idx="2">
                  <c:v>3538</c:v>
                </c:pt>
                <c:pt idx="3">
                  <c:v>3538</c:v>
                </c:pt>
                <c:pt idx="4">
                  <c:v>3538</c:v>
                </c:pt>
                <c:pt idx="5">
                  <c:v>3343</c:v>
                </c:pt>
                <c:pt idx="6">
                  <c:v>3163</c:v>
                </c:pt>
                <c:pt idx="7">
                  <c:v>3163</c:v>
                </c:pt>
                <c:pt idx="8">
                  <c:v>3163</c:v>
                </c:pt>
                <c:pt idx="9">
                  <c:v>3163</c:v>
                </c:pt>
                <c:pt idx="10">
                  <c:v>3163</c:v>
                </c:pt>
                <c:pt idx="11">
                  <c:v>3163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18-41E4-A627-76B2E5A4A04D}"/>
            </c:ext>
          </c:extLst>
        </c:ser>
        <c:ser>
          <c:idx val="4"/>
          <c:order val="3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'Seasonal Results'!$C$111:$N$111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Results'!$C$116:$N$116</c:f>
              <c:numCache>
                <c:formatCode>0</c:formatCode>
                <c:ptCount val="12"/>
                <c:pt idx="0">
                  <c:v>3415.6636677839742</c:v>
                </c:pt>
                <c:pt idx="1">
                  <c:v>3491.7294385515156</c:v>
                </c:pt>
                <c:pt idx="2">
                  <c:v>3372.8329607288674</c:v>
                </c:pt>
                <c:pt idx="3">
                  <c:v>2807.3013876092655</c:v>
                </c:pt>
                <c:pt idx="4">
                  <c:v>2289.643592195886</c:v>
                </c:pt>
                <c:pt idx="5">
                  <c:v>1855.9063314206567</c:v>
                </c:pt>
                <c:pt idx="6">
                  <c:v>1699.4719125748782</c:v>
                </c:pt>
                <c:pt idx="7">
                  <c:v>1582.9795242575992</c:v>
                </c:pt>
                <c:pt idx="8">
                  <c:v>1538.5801213701859</c:v>
                </c:pt>
                <c:pt idx="9">
                  <c:v>1576.2913253528934</c:v>
                </c:pt>
                <c:pt idx="10">
                  <c:v>1664.0465687853205</c:v>
                </c:pt>
                <c:pt idx="11">
                  <c:v>1834.6234896679032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18-41E4-A627-76B2E5A4A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7542864"/>
        <c:axId val="-137539600"/>
      </c:lineChart>
      <c:catAx>
        <c:axId val="-137528176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4340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1375434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356990960071598E-2"/>
              <c:y val="0.3512935559779165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28176"/>
        <c:crosses val="autoZero"/>
        <c:crossBetween val="between"/>
        <c:majorUnit val="500"/>
      </c:valAx>
      <c:catAx>
        <c:axId val="-137542864"/>
        <c:scaling>
          <c:orientation val="minMax"/>
        </c:scaling>
        <c:delete val="1"/>
        <c:axPos val="b"/>
        <c:majorTickMark val="out"/>
        <c:minorTickMark val="none"/>
        <c:tickLblPos val="none"/>
        <c:crossAx val="-137539600"/>
        <c:crosses val="autoZero"/>
        <c:auto val="0"/>
        <c:lblAlgn val="ctr"/>
        <c:lblOffset val="100"/>
        <c:noMultiLvlLbl val="0"/>
      </c:catAx>
      <c:valAx>
        <c:axId val="-137539600"/>
        <c:scaling>
          <c:orientation val="minMax"/>
          <c:max val="40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764138059384974"/>
              <c:y val="0.398706444022083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42864"/>
        <c:crosses val="max"/>
        <c:crossBetween val="between"/>
        <c:majorUnit val="10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043832893706242"/>
          <c:y val="0.91637704769662409"/>
          <c:w val="0.4139612850603091"/>
          <c:h val="6.179782344269311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Folsom Reservoir</a:t>
            </a:r>
          </a:p>
        </c:rich>
      </c:tx>
      <c:layout>
        <c:manualLayout>
          <c:xMode val="edge"/>
          <c:yMode val="edge"/>
          <c:x val="0.44067814404555361"/>
          <c:y val="3.006012024048096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25426429019808E-2"/>
          <c:y val="0.13226465848166891"/>
          <c:w val="0.87033934319523931"/>
          <c:h val="0.71743557176420358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Results'!$C$147:$N$147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Results'!$C$149:$N$149</c:f>
              <c:numCache>
                <c:formatCode>General</c:formatCode>
                <c:ptCount val="12"/>
                <c:pt idx="0" formatCode="0.00">
                  <c:v>175</c:v>
                </c:pt>
                <c:pt idx="1">
                  <c:v>314</c:v>
                </c:pt>
                <c:pt idx="2">
                  <c:v>167</c:v>
                </c:pt>
                <c:pt idx="3">
                  <c:v>112</c:v>
                </c:pt>
                <c:pt idx="4">
                  <c:v>107</c:v>
                </c:pt>
                <c:pt idx="5">
                  <c:v>93</c:v>
                </c:pt>
                <c:pt idx="6">
                  <c:v>50</c:v>
                </c:pt>
                <c:pt idx="7">
                  <c:v>50</c:v>
                </c:pt>
                <c:pt idx="8">
                  <c:v>70</c:v>
                </c:pt>
                <c:pt idx="9">
                  <c:v>70</c:v>
                </c:pt>
                <c:pt idx="10">
                  <c:v>110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DA-41B1-BDFC-1ED60A0799E7}"/>
            </c:ext>
          </c:extLst>
        </c:ser>
        <c:ser>
          <c:idx val="0"/>
          <c:order val="1"/>
          <c:tx>
            <c:v>Total 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Results'!$C$147:$N$147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Results'!$C$151:$N$151</c:f>
              <c:numCache>
                <c:formatCode>0.0</c:formatCode>
                <c:ptCount val="12"/>
                <c:pt idx="0" formatCode="0.00">
                  <c:v>116.08799999999999</c:v>
                </c:pt>
                <c:pt idx="1">
                  <c:v>195.21900000000002</c:v>
                </c:pt>
                <c:pt idx="2">
                  <c:v>203.41341999999983</c:v>
                </c:pt>
                <c:pt idx="3">
                  <c:v>351.10149999999999</c:v>
                </c:pt>
                <c:pt idx="4">
                  <c:v>286.44016999999997</c:v>
                </c:pt>
                <c:pt idx="5">
                  <c:v>128.85185999999996</c:v>
                </c:pt>
                <c:pt idx="6">
                  <c:v>99.314175000000034</c:v>
                </c:pt>
                <c:pt idx="7">
                  <c:v>95.234999999999999</c:v>
                </c:pt>
                <c:pt idx="8">
                  <c:v>98.409500000000008</c:v>
                </c:pt>
                <c:pt idx="9">
                  <c:v>83.041250000000005</c:v>
                </c:pt>
                <c:pt idx="10">
                  <c:v>82.276472000000069</c:v>
                </c:pt>
                <c:pt idx="11">
                  <c:v>83.041250000000005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DA-41B1-BDFC-1ED60A079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7541232"/>
        <c:axId val="-320229376"/>
      </c:barChart>
      <c:lineChart>
        <c:grouping val="standard"/>
        <c:varyColors val="0"/>
        <c:ser>
          <c:idx val="4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'Seasonal Results'!$C$147:$N$147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Results'!$C$157:$N$157</c:f>
              <c:numCache>
                <c:formatCode>0</c:formatCode>
                <c:ptCount val="12"/>
                <c:pt idx="0">
                  <c:v>830.34967198000004</c:v>
                </c:pt>
                <c:pt idx="1">
                  <c:v>943.71842467199997</c:v>
                </c:pt>
                <c:pt idx="2">
                  <c:v>900.70968788799996</c:v>
                </c:pt>
                <c:pt idx="3">
                  <c:v>653.28072540799997</c:v>
                </c:pt>
                <c:pt idx="4">
                  <c:v>467.40809574799999</c:v>
                </c:pt>
                <c:pt idx="5">
                  <c:v>426.94931972800009</c:v>
                </c:pt>
                <c:pt idx="6">
                  <c:v>375.41232895800005</c:v>
                </c:pt>
                <c:pt idx="7">
                  <c:v>329.21691680600003</c:v>
                </c:pt>
                <c:pt idx="8">
                  <c:v>300.22575674199999</c:v>
                </c:pt>
                <c:pt idx="9">
                  <c:v>286.19911255199997</c:v>
                </c:pt>
                <c:pt idx="10">
                  <c:v>313.10366605199988</c:v>
                </c:pt>
                <c:pt idx="11">
                  <c:v>408.90176407399991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DA-41B1-BDFC-1ED60A0799E7}"/>
            </c:ext>
          </c:extLst>
        </c:ser>
        <c:ser>
          <c:idx val="2"/>
          <c:order val="3"/>
          <c:tx>
            <c:v>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'[1]Target Storages'!$B$29:$M$29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DA-41B1-BDFC-1ED60A0799E7}"/>
            </c:ext>
          </c:extLst>
        </c:ser>
        <c:ser>
          <c:idx val="3"/>
          <c:order val="4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Storages'!$B$28:$M$28</c:f>
              <c:numCache>
                <c:formatCode>General</c:formatCode>
                <c:ptCount val="12"/>
                <c:pt idx="0">
                  <c:v>900</c:v>
                </c:pt>
                <c:pt idx="1">
                  <c:v>966</c:v>
                </c:pt>
                <c:pt idx="2">
                  <c:v>966</c:v>
                </c:pt>
                <c:pt idx="3">
                  <c:v>966</c:v>
                </c:pt>
                <c:pt idx="4">
                  <c:v>966</c:v>
                </c:pt>
                <c:pt idx="5">
                  <c:v>966</c:v>
                </c:pt>
                <c:pt idx="6">
                  <c:v>715</c:v>
                </c:pt>
                <c:pt idx="7">
                  <c:v>566</c:v>
                </c:pt>
                <c:pt idx="8">
                  <c:v>566</c:v>
                </c:pt>
                <c:pt idx="9">
                  <c:v>566</c:v>
                </c:pt>
                <c:pt idx="10">
                  <c:v>566</c:v>
                </c:pt>
                <c:pt idx="11">
                  <c:v>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DA-41B1-BDFC-1ED60A079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20238624"/>
        <c:axId val="-320233728"/>
      </c:lineChart>
      <c:catAx>
        <c:axId val="-137541232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2022937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320229376"/>
        <c:scaling>
          <c:orientation val="minMax"/>
          <c:max val="1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3559322033898299E-2"/>
              <c:y val="0.3747499197870808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41232"/>
        <c:crosses val="autoZero"/>
        <c:crossBetween val="between"/>
        <c:majorUnit val="200"/>
      </c:valAx>
      <c:catAx>
        <c:axId val="-320238624"/>
        <c:scaling>
          <c:orientation val="minMax"/>
        </c:scaling>
        <c:delete val="1"/>
        <c:axPos val="b"/>
        <c:numFmt formatCode="mmm" sourceLinked="1"/>
        <c:majorTickMark val="out"/>
        <c:minorTickMark val="none"/>
        <c:tickLblPos val="none"/>
        <c:crossAx val="-320233728"/>
        <c:crosses val="autoZero"/>
        <c:auto val="0"/>
        <c:lblAlgn val="ctr"/>
        <c:lblOffset val="100"/>
        <c:noMultiLvlLbl val="0"/>
      </c:catAx>
      <c:valAx>
        <c:axId val="-320233728"/>
        <c:scaling>
          <c:orientation val="minMax"/>
          <c:max val="10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779705502913882"/>
              <c:y val="0.4188380961397863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20238624"/>
        <c:crosses val="max"/>
        <c:crossBetween val="between"/>
        <c:majorUnit val="1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3201325482371191"/>
          <c:y val="0.92683123934806699"/>
          <c:w val="0.35181523821280036"/>
          <c:h val="5.400708349584602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New Melones Reservoir</a:t>
            </a:r>
          </a:p>
        </c:rich>
      </c:tx>
      <c:layout>
        <c:manualLayout>
          <c:xMode val="edge"/>
          <c:yMode val="edge"/>
          <c:x val="0.41388927772917306"/>
          <c:y val="2.98804780876494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296360764215097E-2"/>
          <c:y val="0.12151406241641102"/>
          <c:w val="0.85648225593375249"/>
          <c:h val="0.72908437449846564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Results'!$C$187:$N$187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Results'!$C$189:$N$189</c:f>
              <c:numCache>
                <c:formatCode>0</c:formatCode>
                <c:ptCount val="12"/>
                <c:pt idx="0">
                  <c:v>129</c:v>
                </c:pt>
                <c:pt idx="1">
                  <c:v>171</c:v>
                </c:pt>
                <c:pt idx="2">
                  <c:v>147</c:v>
                </c:pt>
                <c:pt idx="3">
                  <c:v>59</c:v>
                </c:pt>
                <c:pt idx="4">
                  <c:v>42</c:v>
                </c:pt>
                <c:pt idx="5">
                  <c:v>39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20</c:v>
                </c:pt>
                <c:pt idx="10">
                  <c:v>25</c:v>
                </c:pt>
                <c:pt idx="11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A3-4E8B-ADB7-080AD0625FB0}"/>
            </c:ext>
          </c:extLst>
        </c:ser>
        <c:ser>
          <c:idx val="0"/>
          <c:order val="1"/>
          <c:tx>
            <c:v>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Results'!$C$187:$N$187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Results'!$C$191:$N$191</c:f>
              <c:numCache>
                <c:formatCode>0</c:formatCode>
                <c:ptCount val="12"/>
                <c:pt idx="0">
                  <c:v>185.05918500000001</c:v>
                </c:pt>
                <c:pt idx="1">
                  <c:v>179.76871700000001</c:v>
                </c:pt>
                <c:pt idx="2">
                  <c:v>124.6147</c:v>
                </c:pt>
                <c:pt idx="3">
                  <c:v>113.36825</c:v>
                </c:pt>
                <c:pt idx="4">
                  <c:v>93.368250000000003</c:v>
                </c:pt>
                <c:pt idx="5">
                  <c:v>79.672499999999999</c:v>
                </c:pt>
                <c:pt idx="6">
                  <c:v>90.792000000000002</c:v>
                </c:pt>
                <c:pt idx="7">
                  <c:v>21.898</c:v>
                </c:pt>
                <c:pt idx="8">
                  <c:v>21.294599999999999</c:v>
                </c:pt>
                <c:pt idx="9">
                  <c:v>13.881</c:v>
                </c:pt>
                <c:pt idx="10">
                  <c:v>21.691200000000002</c:v>
                </c:pt>
                <c:pt idx="11">
                  <c:v>22.794599999999999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A3-4E8B-ADB7-080AD0625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320228832"/>
        <c:axId val="-320233184"/>
      </c:barChart>
      <c:lineChart>
        <c:grouping val="standard"/>
        <c:varyColors val="0"/>
        <c:ser>
          <c:idx val="4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'Seasonal Results'!$C$187:$N$187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Results'!$C$197:$N$197</c:f>
              <c:numCache>
                <c:formatCode>0</c:formatCode>
                <c:ptCount val="12"/>
                <c:pt idx="0">
                  <c:v>1947.648474156</c:v>
                </c:pt>
                <c:pt idx="1">
                  <c:v>1933.3601018979998</c:v>
                </c:pt>
                <c:pt idx="2">
                  <c:v>1949.4426023459998</c:v>
                </c:pt>
                <c:pt idx="3">
                  <c:v>1886.7271970019999</c:v>
                </c:pt>
                <c:pt idx="4">
                  <c:v>1827.7552769499998</c:v>
                </c:pt>
                <c:pt idx="5">
                  <c:v>1780.85593535</c:v>
                </c:pt>
                <c:pt idx="6">
                  <c:v>1716.959437002</c:v>
                </c:pt>
                <c:pt idx="7">
                  <c:v>1723.5783998660002</c:v>
                </c:pt>
                <c:pt idx="8">
                  <c:v>1731.3556405700001</c:v>
                </c:pt>
                <c:pt idx="9">
                  <c:v>1735.8038297800001</c:v>
                </c:pt>
                <c:pt idx="10">
                  <c:v>1737.7557288960002</c:v>
                </c:pt>
                <c:pt idx="11">
                  <c:v>1757.9385796600002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A3-4E8B-ADB7-080AD0625FB0}"/>
            </c:ext>
          </c:extLst>
        </c:ser>
        <c:ser>
          <c:idx val="2"/>
          <c:order val="3"/>
          <c:tx>
            <c:v>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'[1]Target Storages'!$B$27:$M$27</c:f>
              <c:numCache>
                <c:formatCode>General</c:formatCode>
                <c:ptCount val="12"/>
                <c:pt idx="0">
                  <c:v>1970</c:v>
                </c:pt>
                <c:pt idx="1">
                  <c:v>1970</c:v>
                </c:pt>
                <c:pt idx="2">
                  <c:v>2200</c:v>
                </c:pt>
                <c:pt idx="3">
                  <c:v>2420</c:v>
                </c:pt>
                <c:pt idx="4">
                  <c:v>2420</c:v>
                </c:pt>
                <c:pt idx="5">
                  <c:v>2270</c:v>
                </c:pt>
                <c:pt idx="6">
                  <c:v>1970</c:v>
                </c:pt>
                <c:pt idx="7">
                  <c:v>1970</c:v>
                </c:pt>
                <c:pt idx="8">
                  <c:v>1970</c:v>
                </c:pt>
                <c:pt idx="9">
                  <c:v>1970</c:v>
                </c:pt>
                <c:pt idx="10">
                  <c:v>1970</c:v>
                </c:pt>
                <c:pt idx="11">
                  <c:v>1970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A3-4E8B-ADB7-080AD0625FB0}"/>
            </c:ext>
          </c:extLst>
        </c:ser>
        <c:ser>
          <c:idx val="3"/>
          <c:order val="4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Storages'!$B$26:$M$26</c:f>
              <c:numCache>
                <c:formatCode>General</c:formatCode>
                <c:ptCount val="12"/>
                <c:pt idx="0">
                  <c:v>2230</c:v>
                </c:pt>
                <c:pt idx="1">
                  <c:v>2420</c:v>
                </c:pt>
                <c:pt idx="2">
                  <c:v>2420</c:v>
                </c:pt>
                <c:pt idx="3">
                  <c:v>2420</c:v>
                </c:pt>
                <c:pt idx="4">
                  <c:v>2420</c:v>
                </c:pt>
                <c:pt idx="5">
                  <c:v>2270</c:v>
                </c:pt>
                <c:pt idx="6">
                  <c:v>1970</c:v>
                </c:pt>
                <c:pt idx="7">
                  <c:v>1970</c:v>
                </c:pt>
                <c:pt idx="8">
                  <c:v>1970</c:v>
                </c:pt>
                <c:pt idx="9">
                  <c:v>1970</c:v>
                </c:pt>
                <c:pt idx="10">
                  <c:v>1970</c:v>
                </c:pt>
                <c:pt idx="11">
                  <c:v>2040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2A3-4E8B-ADB7-080AD0625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20241888"/>
        <c:axId val="-320234816"/>
      </c:lineChart>
      <c:catAx>
        <c:axId val="-320228832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2023318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320233184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814814814814815E-2"/>
              <c:y val="0.3764944421787913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20228832"/>
        <c:crosses val="autoZero"/>
        <c:crossBetween val="between"/>
        <c:majorUnit val="200"/>
      </c:valAx>
      <c:catAx>
        <c:axId val="-320241888"/>
        <c:scaling>
          <c:orientation val="minMax"/>
        </c:scaling>
        <c:delete val="1"/>
        <c:axPos val="b"/>
        <c:numFmt formatCode="mmm" sourceLinked="1"/>
        <c:majorTickMark val="out"/>
        <c:minorTickMark val="none"/>
        <c:tickLblPos val="none"/>
        <c:crossAx val="-320234816"/>
        <c:crosses val="autoZero"/>
        <c:auto val="0"/>
        <c:lblAlgn val="ctr"/>
        <c:lblOffset val="100"/>
        <c:noMultiLvlLbl val="0"/>
      </c:catAx>
      <c:valAx>
        <c:axId val="-320234816"/>
        <c:scaling>
          <c:orientation val="minMax"/>
          <c:max val="25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481568970545351"/>
              <c:y val="0.4203191433740108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20241888"/>
        <c:crosses val="max"/>
        <c:crossBetween val="between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136265596860075"/>
          <c:y val="0.92547679891376411"/>
          <c:w val="0.37346794923529164"/>
          <c:h val="5.372618121034965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San Luis Storage</a:t>
            </a:r>
          </a:p>
        </c:rich>
      </c:tx>
      <c:layout>
        <c:manualLayout>
          <c:xMode val="edge"/>
          <c:yMode val="edge"/>
          <c:x val="0.4377292865839163"/>
          <c:y val="3.26633165829146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682560310355809E-2"/>
          <c:y val="8.5427135678391955E-2"/>
          <c:w val="0.89844504912522549"/>
          <c:h val="0.78643216080401945"/>
        </c:manualLayout>
      </c:layout>
      <c:lineChart>
        <c:grouping val="standard"/>
        <c:varyColors val="0"/>
        <c:ser>
          <c:idx val="0"/>
          <c:order val="0"/>
          <c:tx>
            <c:strRef>
              <c:f>'Seasonal Results'!$A$232</c:f>
              <c:strCache>
                <c:ptCount val="1"/>
                <c:pt idx="0">
                  <c:v>Federal Storage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'Seasonal Results'!$C$229:$N$229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Results'!$C$232:$N$232</c:f>
              <c:numCache>
                <c:formatCode>#,##0</c:formatCode>
                <c:ptCount val="12"/>
                <c:pt idx="0">
                  <c:v>667.31268583008</c:v>
                </c:pt>
                <c:pt idx="1">
                  <c:v>525.02428173767998</c:v>
                </c:pt>
                <c:pt idx="2">
                  <c:v>357.90326355528003</c:v>
                </c:pt>
                <c:pt idx="3">
                  <c:v>248.42248352360002</c:v>
                </c:pt>
                <c:pt idx="4">
                  <c:v>203.53833073740003</c:v>
                </c:pt>
                <c:pt idx="5">
                  <c:v>200.48796284200003</c:v>
                </c:pt>
                <c:pt idx="6">
                  <c:v>214.65285951844001</c:v>
                </c:pt>
                <c:pt idx="7">
                  <c:v>284.60007476855998</c:v>
                </c:pt>
                <c:pt idx="8">
                  <c:v>460.88274165415999</c:v>
                </c:pt>
                <c:pt idx="9">
                  <c:v>633.49146590056</c:v>
                </c:pt>
                <c:pt idx="10">
                  <c:v>594.08694628599994</c:v>
                </c:pt>
                <c:pt idx="11">
                  <c:v>551.14618105691989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F9-45E3-9900-F9E8BC0AE2C0}"/>
            </c:ext>
          </c:extLst>
        </c:ser>
        <c:ser>
          <c:idx val="1"/>
          <c:order val="1"/>
          <c:tx>
            <c:strRef>
              <c:f>'Seasonal Results'!$A$234</c:f>
              <c:strCache>
                <c:ptCount val="1"/>
                <c:pt idx="0">
                  <c:v>State Storage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'Seasonal Results'!$C$229:$N$229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Results'!$C$234:$N$234</c:f>
              <c:numCache>
                <c:formatCode>#,##0</c:formatCode>
                <c:ptCount val="12"/>
                <c:pt idx="0">
                  <c:v>443.62510423392001</c:v>
                </c:pt>
                <c:pt idx="1">
                  <c:v>310.89862940632003</c:v>
                </c:pt>
                <c:pt idx="2">
                  <c:v>170.24967166872003</c:v>
                </c:pt>
                <c:pt idx="3">
                  <c:v>365.30593035640004</c:v>
                </c:pt>
                <c:pt idx="4">
                  <c:v>539.67453918260003</c:v>
                </c:pt>
                <c:pt idx="5">
                  <c:v>799.45657325800005</c:v>
                </c:pt>
                <c:pt idx="6">
                  <c:v>781.58128573356009</c:v>
                </c:pt>
                <c:pt idx="7">
                  <c:v>829.5327345794401</c:v>
                </c:pt>
                <c:pt idx="8">
                  <c:v>863.86245867384014</c:v>
                </c:pt>
                <c:pt idx="9">
                  <c:v>892.57083654744019</c:v>
                </c:pt>
                <c:pt idx="10">
                  <c:v>901.31973251400018</c:v>
                </c:pt>
                <c:pt idx="11">
                  <c:v>971.46392597908016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F9-45E3-9900-F9E8BC0AE2C0}"/>
            </c:ext>
          </c:extLst>
        </c:ser>
        <c:ser>
          <c:idx val="2"/>
          <c:order val="2"/>
          <c:tx>
            <c:strRef>
              <c:f>'Seasonal Results'!$A$235</c:f>
              <c:strCache>
                <c:ptCount val="1"/>
                <c:pt idx="0">
                  <c:v>Total Storage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'Seasonal Results'!$C$229:$N$229</c:f>
              <c:numCache>
                <c:formatCode>mmm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'Seasonal Results'!$C$235:$N$235</c:f>
              <c:numCache>
                <c:formatCode>#,##0</c:formatCode>
                <c:ptCount val="12"/>
                <c:pt idx="0">
                  <c:v>1110.937790064</c:v>
                </c:pt>
                <c:pt idx="1">
                  <c:v>835.92291114399995</c:v>
                </c:pt>
                <c:pt idx="2">
                  <c:v>528.15293522400009</c:v>
                </c:pt>
                <c:pt idx="3">
                  <c:v>613.72841388000006</c:v>
                </c:pt>
                <c:pt idx="4">
                  <c:v>743.21286992</c:v>
                </c:pt>
                <c:pt idx="5">
                  <c:v>999.94453610000005</c:v>
                </c:pt>
                <c:pt idx="6">
                  <c:v>996.23414525200008</c:v>
                </c:pt>
                <c:pt idx="7">
                  <c:v>1114.1328093480001</c:v>
                </c:pt>
                <c:pt idx="8">
                  <c:v>1324.745200328</c:v>
                </c:pt>
                <c:pt idx="9">
                  <c:v>1526.0623024480001</c:v>
                </c:pt>
                <c:pt idx="10">
                  <c:v>1495.4066788</c:v>
                </c:pt>
                <c:pt idx="11">
                  <c:v>1522.610107036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F9-45E3-9900-F9E8BC0AE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20232640"/>
        <c:axId val="-320232096"/>
      </c:lineChart>
      <c:dateAx>
        <c:axId val="-320232640"/>
        <c:scaling>
          <c:orientation val="minMax"/>
        </c:scaling>
        <c:delete val="0"/>
        <c:axPos val="b"/>
        <c:numFmt formatCode="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2023209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-3202320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(TAF)</a:t>
                </a:r>
              </a:p>
            </c:rich>
          </c:tx>
          <c:layout>
            <c:manualLayout>
              <c:xMode val="edge"/>
              <c:yMode val="edge"/>
              <c:x val="1.3736279305434492E-2"/>
              <c:y val="0.3316580276711643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2023264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13</xdr:row>
      <xdr:rowOff>45720</xdr:rowOff>
    </xdr:from>
    <xdr:to>
      <xdr:col>13</xdr:col>
      <xdr:colOff>281940</xdr:colOff>
      <xdr:row>33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510540</xdr:colOff>
      <xdr:row>47</xdr:row>
      <xdr:rowOff>38100</xdr:rowOff>
    </xdr:from>
    <xdr:to>
      <xdr:col>13</xdr:col>
      <xdr:colOff>182880</xdr:colOff>
      <xdr:row>68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480060</xdr:colOff>
      <xdr:row>84</xdr:row>
      <xdr:rowOff>22860</xdr:rowOff>
    </xdr:from>
    <xdr:to>
      <xdr:col>13</xdr:col>
      <xdr:colOff>312420</xdr:colOff>
      <xdr:row>109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312420</xdr:colOff>
      <xdr:row>122</xdr:row>
      <xdr:rowOff>0</xdr:rowOff>
    </xdr:from>
    <xdr:to>
      <xdr:col>12</xdr:col>
      <xdr:colOff>716280</xdr:colOff>
      <xdr:row>145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30480</xdr:colOff>
      <xdr:row>160</xdr:row>
      <xdr:rowOff>68580</xdr:rowOff>
    </xdr:from>
    <xdr:to>
      <xdr:col>13</xdr:col>
      <xdr:colOff>594360</xdr:colOff>
      <xdr:row>185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30480</xdr:colOff>
      <xdr:row>202</xdr:row>
      <xdr:rowOff>45720</xdr:rowOff>
    </xdr:from>
    <xdr:to>
      <xdr:col>13</xdr:col>
      <xdr:colOff>617220</xdr:colOff>
      <xdr:row>227</xdr:row>
      <xdr:rowOff>60960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38100</xdr:colOff>
      <xdr:row>237</xdr:row>
      <xdr:rowOff>60960</xdr:rowOff>
    </xdr:from>
    <xdr:to>
      <xdr:col>13</xdr:col>
      <xdr:colOff>754380</xdr:colOff>
      <xdr:row>260</xdr:row>
      <xdr:rowOff>129540</xdr:rowOff>
    </xdr:to>
    <xdr:graphicFrame macro="">
      <xdr:nvGraphicFramePr>
        <xdr:cNvPr id="8" name="Chart 1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0</xdr:row>
          <xdr:rowOff>0</xdr:rowOff>
        </xdr:from>
        <xdr:to>
          <xdr:col>2</xdr:col>
          <xdr:colOff>904875</xdr:colOff>
          <xdr:row>1</xdr:row>
          <xdr:rowOff>123825</xdr:rowOff>
        </xdr:to>
        <xdr:sp macro="" textlink="">
          <xdr:nvSpPr>
            <xdr:cNvPr id="1025" name="ComboBox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485775</xdr:colOff>
          <xdr:row>0</xdr:row>
          <xdr:rowOff>66675</xdr:rowOff>
        </xdr:from>
        <xdr:to>
          <xdr:col>5</xdr:col>
          <xdr:colOff>1028700</xdr:colOff>
          <xdr:row>1</xdr:row>
          <xdr:rowOff>180975</xdr:rowOff>
        </xdr:to>
        <xdr:sp macro="" textlink="">
          <xdr:nvSpPr>
            <xdr:cNvPr id="1026" name="CommandButton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FORECAST\WY_24\Apr\90\Apr90_WY2024_withspringpulse.xlsm" TargetMode="External"/><Relationship Id="rId1" Type="http://schemas.openxmlformats.org/officeDocument/2006/relationships/externalLinkPath" Target="file:///V:\FORECAST\WY_24\Apr\90\Apr90_WY2024_withspringpuls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ginning Page"/>
      <sheetName val="Model Input"/>
      <sheetName val="Summary"/>
      <sheetName val="Seasonal Results"/>
      <sheetName val="Jan"/>
      <sheetName val="Feb"/>
      <sheetName val="Mar"/>
      <sheetName val="Apr"/>
      <sheetName val="May"/>
      <sheetName val="June"/>
      <sheetName val="July"/>
      <sheetName val="Aug"/>
      <sheetName val="Sep"/>
      <sheetName val="Oct"/>
      <sheetName val="Nov"/>
      <sheetName val="Dec"/>
      <sheetName val="CALCS"/>
      <sheetName val="Target Storages"/>
      <sheetName val="Lookup"/>
      <sheetName val="Power"/>
      <sheetName val="Evaporation Coefs"/>
      <sheetName val="Res_Area_Tbl"/>
      <sheetName val="Folsom ACT"/>
      <sheetName val="New Melones ACT"/>
      <sheetName val="Oroville ACT"/>
      <sheetName val="Shasta ACT"/>
      <sheetName val="Trinity ACT"/>
      <sheetName val="Whiskey ACT"/>
      <sheetName val="SanLuis ACT"/>
      <sheetName val="Sac AFRP"/>
      <sheetName val="Amer AFRP"/>
      <sheetName val="ClCr AFRP"/>
      <sheetName val="CALSIM Date"/>
      <sheetName val="Sheet1"/>
    </sheetNames>
    <sheetDataSet>
      <sheetData sheetId="0">
        <row r="6">
          <cell r="C6">
            <v>219</v>
          </cell>
        </row>
        <row r="32">
          <cell r="A32">
            <v>45383</v>
          </cell>
          <cell r="B32">
            <v>45413</v>
          </cell>
          <cell r="C32">
            <v>45444</v>
          </cell>
          <cell r="D32">
            <v>45474</v>
          </cell>
          <cell r="E32">
            <v>45505</v>
          </cell>
          <cell r="F32">
            <v>45536</v>
          </cell>
          <cell r="G32">
            <v>45566</v>
          </cell>
          <cell r="H32">
            <v>45597</v>
          </cell>
          <cell r="I32">
            <v>45627</v>
          </cell>
          <cell r="J32">
            <v>45658</v>
          </cell>
          <cell r="K32">
            <v>45689</v>
          </cell>
          <cell r="L32">
            <v>45717</v>
          </cell>
        </row>
      </sheetData>
      <sheetData sheetId="1" refreshError="1"/>
      <sheetData sheetId="2" refreshError="1"/>
      <sheetData sheetId="3">
        <row r="3">
          <cell r="C3">
            <v>45383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F9">
            <v>195</v>
          </cell>
          <cell r="G9">
            <v>270</v>
          </cell>
          <cell r="H9">
            <v>110</v>
          </cell>
          <cell r="I9">
            <v>30</v>
          </cell>
          <cell r="J9">
            <v>20</v>
          </cell>
          <cell r="K9">
            <v>10</v>
          </cell>
          <cell r="L9">
            <v>12</v>
          </cell>
          <cell r="M9">
            <v>22</v>
          </cell>
          <cell r="N9">
            <v>41</v>
          </cell>
          <cell r="O9">
            <v>33</v>
          </cell>
          <cell r="P9">
            <v>55</v>
          </cell>
          <cell r="Q9">
            <v>88</v>
          </cell>
        </row>
        <row r="10">
          <cell r="G10">
            <v>7.0163730000000299</v>
          </cell>
          <cell r="H10">
            <v>8.1642207150000221</v>
          </cell>
          <cell r="I10">
            <v>10.681491640000033</v>
          </cell>
          <cell r="J10">
            <v>9.5902701749999899</v>
          </cell>
          <cell r="K10">
            <v>7.6570312000000058</v>
          </cell>
          <cell r="L10">
            <v>3.6713511800000149</v>
          </cell>
          <cell r="M10">
            <v>1.7735491200000064</v>
          </cell>
          <cell r="N10">
            <v>1.1099763200000041</v>
          </cell>
          <cell r="O10">
            <v>2.0015531250000098</v>
          </cell>
          <cell r="P10">
            <v>1.6344221200000071</v>
          </cell>
          <cell r="Q10">
            <v>2.4669721550000063</v>
          </cell>
        </row>
        <row r="11">
          <cell r="G11">
            <v>218.67830793499999</v>
          </cell>
          <cell r="H11">
            <v>119.35126210500005</v>
          </cell>
          <cell r="I11">
            <v>124.86613362</v>
          </cell>
          <cell r="J11">
            <v>133.195009755</v>
          </cell>
          <cell r="K11">
            <v>131.59760697499999</v>
          </cell>
          <cell r="L11">
            <v>30.994213704999925</v>
          </cell>
          <cell r="M11">
            <v>24.182679123</v>
          </cell>
          <cell r="N11">
            <v>19.010421628</v>
          </cell>
          <cell r="O11">
            <v>19.227772485000028</v>
          </cell>
          <cell r="P11">
            <v>17.160972805999997</v>
          </cell>
          <cell r="Q11">
            <v>19.349103391000003</v>
          </cell>
        </row>
        <row r="12">
          <cell r="F12">
            <v>2700</v>
          </cell>
          <cell r="G12">
            <v>3500</v>
          </cell>
          <cell r="H12">
            <v>1800</v>
          </cell>
          <cell r="I12">
            <v>735</v>
          </cell>
          <cell r="J12">
            <v>857</v>
          </cell>
          <cell r="K12">
            <v>870</v>
          </cell>
          <cell r="L12">
            <v>372.58064516129031</v>
          </cell>
          <cell r="M12">
            <v>300</v>
          </cell>
          <cell r="N12">
            <v>300</v>
          </cell>
          <cell r="O12">
            <v>300</v>
          </cell>
          <cell r="P12">
            <v>300</v>
          </cell>
          <cell r="Q12">
            <v>300</v>
          </cell>
        </row>
        <row r="14">
          <cell r="G14">
            <v>215.15549999999999</v>
          </cell>
          <cell r="H14">
            <v>107.08200000000001</v>
          </cell>
          <cell r="I14">
            <v>45.182654999999997</v>
          </cell>
          <cell r="J14">
            <v>52.682361</v>
          </cell>
          <cell r="K14">
            <v>51.756300000000003</v>
          </cell>
          <cell r="L14">
            <v>22.929428999999999</v>
          </cell>
          <cell r="M14">
            <v>17.847000000000001</v>
          </cell>
          <cell r="N14">
            <v>18.4419</v>
          </cell>
          <cell r="O14">
            <v>18.4419</v>
          </cell>
          <cell r="P14">
            <v>16.6572</v>
          </cell>
          <cell r="Q14">
            <v>18.4419</v>
          </cell>
        </row>
        <row r="15">
          <cell r="G15">
            <v>3.5228079349999994</v>
          </cell>
          <cell r="H15">
            <v>12.269262105000031</v>
          </cell>
          <cell r="I15">
            <v>79.683478620000002</v>
          </cell>
          <cell r="J15">
            <v>80.512648755000001</v>
          </cell>
          <cell r="K15">
            <v>79.841306974999981</v>
          </cell>
          <cell r="L15">
            <v>8.0647847049999264</v>
          </cell>
          <cell r="M15">
            <v>6.3356791230000002</v>
          </cell>
          <cell r="N15">
            <v>0.56852162799999917</v>
          </cell>
          <cell r="O15">
            <v>0.78587248500002715</v>
          </cell>
          <cell r="P15">
            <v>0.50377280599999885</v>
          </cell>
          <cell r="Q15">
            <v>0.90720339100000302</v>
          </cell>
        </row>
        <row r="16">
          <cell r="F16">
            <v>1987.1854146855173</v>
          </cell>
          <cell r="G16">
            <v>2031.4907337505176</v>
          </cell>
          <cell r="H16">
            <v>2013.9752509305174</v>
          </cell>
          <cell r="I16">
            <v>1908.4276256705173</v>
          </cell>
          <cell r="J16">
            <v>1785.6423457405174</v>
          </cell>
          <cell r="K16">
            <v>1656.3877075655173</v>
          </cell>
          <cell r="L16">
            <v>1633.7221426805172</v>
          </cell>
          <cell r="M16">
            <v>1629.765914437517</v>
          </cell>
          <cell r="N16">
            <v>1650.6455164895171</v>
          </cell>
          <cell r="O16">
            <v>1662.416190879517</v>
          </cell>
          <cell r="P16">
            <v>1698.620795953517</v>
          </cell>
          <cell r="Q16">
            <v>1764.8047204075172</v>
          </cell>
        </row>
        <row r="17">
          <cell r="F17">
            <v>2340</v>
          </cell>
          <cell r="G17">
            <v>2343</v>
          </cell>
          <cell r="H17">
            <v>2342</v>
          </cell>
          <cell r="I17">
            <v>2335</v>
          </cell>
          <cell r="J17">
            <v>2326</v>
          </cell>
          <cell r="K17">
            <v>2316</v>
          </cell>
          <cell r="L17">
            <v>2314</v>
          </cell>
          <cell r="M17">
            <v>2314</v>
          </cell>
          <cell r="N17">
            <v>2315</v>
          </cell>
          <cell r="O17">
            <v>2316</v>
          </cell>
          <cell r="P17">
            <v>2319</v>
          </cell>
          <cell r="Q17">
            <v>2324</v>
          </cell>
        </row>
        <row r="18">
          <cell r="F18">
            <v>13488.453524566772</v>
          </cell>
          <cell r="G18">
            <v>13839.000000000058</v>
          </cell>
          <cell r="H18">
            <v>14052.015000000038</v>
          </cell>
          <cell r="I18">
            <v>13981.010000000044</v>
          </cell>
          <cell r="J18">
            <v>13488.424999999988</v>
          </cell>
          <cell r="K18">
            <v>12868.96000000001</v>
          </cell>
          <cell r="L18">
            <v>12197.180000000051</v>
          </cell>
          <cell r="M18">
            <v>12064.960000000045</v>
          </cell>
          <cell r="N18">
            <v>12064.960000000045</v>
          </cell>
          <cell r="O18">
            <v>12130.625000000058</v>
          </cell>
          <cell r="P18">
            <v>12197.180000000051</v>
          </cell>
          <cell r="Q18">
            <v>12396.84500000003</v>
          </cell>
        </row>
        <row r="20">
          <cell r="G20">
            <v>16</v>
          </cell>
          <cell r="H20">
            <v>4</v>
          </cell>
          <cell r="I20">
            <v>2</v>
          </cell>
          <cell r="J20">
            <v>1</v>
          </cell>
          <cell r="K20">
            <v>1</v>
          </cell>
          <cell r="L20">
            <v>3</v>
          </cell>
          <cell r="M20">
            <v>6</v>
          </cell>
          <cell r="N20">
            <v>12</v>
          </cell>
          <cell r="O20">
            <v>12</v>
          </cell>
          <cell r="P20">
            <v>11</v>
          </cell>
          <cell r="Q20">
            <v>22</v>
          </cell>
        </row>
        <row r="21">
          <cell r="G21">
            <v>1.6341649350000018</v>
          </cell>
          <cell r="H21">
            <v>1.872682105000002</v>
          </cell>
          <cell r="I21">
            <v>2.4625286200000027</v>
          </cell>
          <cell r="J21">
            <v>2.2916987550000028</v>
          </cell>
          <cell r="K21">
            <v>1.917806975000002</v>
          </cell>
          <cell r="L21">
            <v>0.97018470500000098</v>
          </cell>
          <cell r="M21">
            <v>0.43767912300000023</v>
          </cell>
          <cell r="N21">
            <v>0.27392162800000019</v>
          </cell>
          <cell r="O21">
            <v>0.49127248500000037</v>
          </cell>
          <cell r="P21">
            <v>0.39897280600000029</v>
          </cell>
          <cell r="Q21">
            <v>0.59250439100000041</v>
          </cell>
        </row>
        <row r="22">
          <cell r="G22">
            <v>17.888642999999998</v>
          </cell>
          <cell r="H22">
            <v>14.39658</v>
          </cell>
          <cell r="I22">
            <v>79.220950000000002</v>
          </cell>
          <cell r="J22">
            <v>79.220950000000002</v>
          </cell>
          <cell r="K22">
            <v>78.923500000000004</v>
          </cell>
          <cell r="L22">
            <v>42.294600000000003</v>
          </cell>
          <cell r="M22">
            <v>11.898</v>
          </cell>
          <cell r="N22">
            <v>12.294599999999999</v>
          </cell>
          <cell r="O22">
            <v>12.294599999999999</v>
          </cell>
          <cell r="P22">
            <v>11.104799999999999</v>
          </cell>
          <cell r="Q22">
            <v>22.314699000000001</v>
          </cell>
        </row>
        <row r="23">
          <cell r="F23">
            <v>0</v>
          </cell>
          <cell r="G23">
            <v>0</v>
          </cell>
          <cell r="H23">
            <v>0</v>
          </cell>
          <cell r="I23">
            <v>70</v>
          </cell>
          <cell r="J23">
            <v>70</v>
          </cell>
          <cell r="K23">
            <v>70</v>
          </cell>
          <cell r="L23">
            <v>30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</row>
        <row r="24">
          <cell r="F24">
            <v>237.9</v>
          </cell>
          <cell r="G24">
            <v>237.89999999999998</v>
          </cell>
          <cell r="H24">
            <v>237.9</v>
          </cell>
          <cell r="I24">
            <v>237.9</v>
          </cell>
          <cell r="J24">
            <v>237.90000000000003</v>
          </cell>
          <cell r="K24">
            <v>237.90000000000006</v>
          </cell>
          <cell r="L24">
            <v>205.7</v>
          </cell>
          <cell r="M24">
            <v>205.7</v>
          </cell>
          <cell r="N24">
            <v>205.69999999999996</v>
          </cell>
          <cell r="O24">
            <v>205.7</v>
          </cell>
          <cell r="P24">
            <v>205.7</v>
          </cell>
          <cell r="Q24">
            <v>205.7</v>
          </cell>
        </row>
        <row r="25">
          <cell r="F25">
            <v>1209</v>
          </cell>
          <cell r="G25">
            <v>1209</v>
          </cell>
          <cell r="H25">
            <v>1209</v>
          </cell>
          <cell r="I25">
            <v>1209</v>
          </cell>
          <cell r="J25">
            <v>1209</v>
          </cell>
          <cell r="K25">
            <v>1209</v>
          </cell>
          <cell r="L25">
            <v>1199</v>
          </cell>
          <cell r="M25">
            <v>1199</v>
          </cell>
          <cell r="N25">
            <v>1199</v>
          </cell>
          <cell r="O25">
            <v>1199</v>
          </cell>
          <cell r="P25">
            <v>1199</v>
          </cell>
          <cell r="Q25">
            <v>1199</v>
          </cell>
        </row>
        <row r="26">
          <cell r="F26">
            <v>3075.2390000000032</v>
          </cell>
          <cell r="G26">
            <v>3223.2050000000036</v>
          </cell>
          <cell r="H26">
            <v>3223.2050000000036</v>
          </cell>
          <cell r="I26">
            <v>3223.2050000000036</v>
          </cell>
          <cell r="J26">
            <v>3223.2050000000036</v>
          </cell>
          <cell r="K26">
            <v>3223.2050000000036</v>
          </cell>
          <cell r="L26">
            <v>3223.2050000000036</v>
          </cell>
          <cell r="M26">
            <v>2977.4090000000019</v>
          </cell>
          <cell r="N26">
            <v>2977.4090000000019</v>
          </cell>
          <cell r="O26">
            <v>2977.4090000000019</v>
          </cell>
          <cell r="P26">
            <v>2977.4090000000019</v>
          </cell>
          <cell r="Q26">
            <v>2977.4090000000019</v>
          </cell>
        </row>
        <row r="27">
          <cell r="F27">
            <v>200</v>
          </cell>
          <cell r="G27">
            <v>291</v>
          </cell>
          <cell r="H27">
            <v>242</v>
          </cell>
          <cell r="I27">
            <v>150</v>
          </cell>
          <cell r="J27">
            <v>150</v>
          </cell>
          <cell r="K27">
            <v>150</v>
          </cell>
          <cell r="L27">
            <v>200</v>
          </cell>
          <cell r="M27">
            <v>200</v>
          </cell>
          <cell r="N27">
            <v>200</v>
          </cell>
          <cell r="O27">
            <v>200</v>
          </cell>
          <cell r="P27">
            <v>200</v>
          </cell>
          <cell r="Q27">
            <v>363</v>
          </cell>
        </row>
        <row r="28">
          <cell r="G28">
            <v>17.888642999999998</v>
          </cell>
          <cell r="H28">
            <v>14.39658</v>
          </cell>
          <cell r="I28">
            <v>9.2209500000000002</v>
          </cell>
          <cell r="J28">
            <v>9.2209500000000002</v>
          </cell>
          <cell r="K28">
            <v>8.9235000000000007</v>
          </cell>
          <cell r="L28">
            <v>12.294599999999999</v>
          </cell>
          <cell r="M28">
            <v>11.898</v>
          </cell>
          <cell r="N28">
            <v>12.294599999999999</v>
          </cell>
          <cell r="O28">
            <v>12.294599999999999</v>
          </cell>
          <cell r="P28">
            <v>11.104799999999999</v>
          </cell>
          <cell r="Q28">
            <v>22.314699000000001</v>
          </cell>
        </row>
        <row r="29">
          <cell r="F29">
            <v>200</v>
          </cell>
          <cell r="G29">
            <v>200</v>
          </cell>
          <cell r="H29">
            <v>200</v>
          </cell>
          <cell r="I29">
            <v>200</v>
          </cell>
          <cell r="J29">
            <v>200</v>
          </cell>
          <cell r="K29">
            <v>150</v>
          </cell>
          <cell r="L29">
            <v>150</v>
          </cell>
          <cell r="M29">
            <v>150</v>
          </cell>
          <cell r="N29">
            <v>150</v>
          </cell>
          <cell r="O29">
            <v>200</v>
          </cell>
          <cell r="P29">
            <v>200</v>
          </cell>
          <cell r="Q29">
            <v>200</v>
          </cell>
        </row>
        <row r="31">
          <cell r="G31">
            <v>400</v>
          </cell>
          <cell r="H31">
            <v>270</v>
          </cell>
          <cell r="J31">
            <v>168</v>
          </cell>
          <cell r="K31">
            <v>165</v>
          </cell>
          <cell r="L31">
            <v>220</v>
          </cell>
          <cell r="M31">
            <v>250</v>
          </cell>
          <cell r="N31">
            <v>320</v>
          </cell>
          <cell r="O31">
            <v>320</v>
          </cell>
          <cell r="P31">
            <v>380</v>
          </cell>
          <cell r="Q31">
            <v>520</v>
          </cell>
        </row>
        <row r="32">
          <cell r="G32">
            <v>14.866025849999991</v>
          </cell>
          <cell r="H32">
            <v>16.437715910000005</v>
          </cell>
          <cell r="I32">
            <v>20.179256959999989</v>
          </cell>
          <cell r="J32">
            <v>16.819485677999992</v>
          </cell>
          <cell r="K32">
            <v>12.853750489999998</v>
          </cell>
          <cell r="L32">
            <v>6.1060589100000007</v>
          </cell>
          <cell r="M32">
            <v>2.9031224040000008</v>
          </cell>
          <cell r="N32">
            <v>1.8169201440000005</v>
          </cell>
          <cell r="O32">
            <v>3.3293205000000019</v>
          </cell>
          <cell r="P32">
            <v>2.7473122199999986</v>
          </cell>
          <cell r="Q32">
            <v>4.2547843739999989</v>
          </cell>
        </row>
        <row r="33">
          <cell r="G33">
            <v>614.73</v>
          </cell>
          <cell r="H33">
            <v>669.26250000000005</v>
          </cell>
          <cell r="I33">
            <v>744.51724999999999</v>
          </cell>
          <cell r="J33">
            <v>575.4665</v>
          </cell>
          <cell r="K33">
            <v>405.92</v>
          </cell>
          <cell r="L33">
            <v>308.10149999999999</v>
          </cell>
          <cell r="M33">
            <v>237.96</v>
          </cell>
          <cell r="N33">
            <v>245.892</v>
          </cell>
          <cell r="O33">
            <v>245.892</v>
          </cell>
          <cell r="P33">
            <v>222.09599999999998</v>
          </cell>
          <cell r="Q33">
            <v>245.892</v>
          </cell>
        </row>
        <row r="34">
          <cell r="F34">
            <v>7200</v>
          </cell>
          <cell r="G34">
            <v>10000</v>
          </cell>
          <cell r="H34">
            <v>11250</v>
          </cell>
          <cell r="I34">
            <v>13250</v>
          </cell>
          <cell r="J34">
            <v>10500</v>
          </cell>
          <cell r="K34">
            <v>8000</v>
          </cell>
          <cell r="L34">
            <v>5500</v>
          </cell>
          <cell r="M34">
            <v>4000</v>
          </cell>
          <cell r="N34">
            <v>4000</v>
          </cell>
          <cell r="O34">
            <v>4000</v>
          </cell>
          <cell r="P34">
            <v>4000</v>
          </cell>
          <cell r="Q34">
            <v>4000</v>
          </cell>
        </row>
        <row r="35">
          <cell r="G35">
            <v>614.73</v>
          </cell>
          <cell r="H35">
            <v>669.26250000000005</v>
          </cell>
          <cell r="I35">
            <v>814.51724999999999</v>
          </cell>
          <cell r="J35">
            <v>645.4665</v>
          </cell>
          <cell r="K35">
            <v>475.92</v>
          </cell>
          <cell r="L35">
            <v>338.10149999999999</v>
          </cell>
          <cell r="M35">
            <v>237.96</v>
          </cell>
          <cell r="N35">
            <v>245.892</v>
          </cell>
          <cell r="O35">
            <v>245.892</v>
          </cell>
          <cell r="P35">
            <v>222.09599999999998</v>
          </cell>
          <cell r="Q35">
            <v>245.892</v>
          </cell>
        </row>
        <row r="36">
          <cell r="F36">
            <v>7200</v>
          </cell>
          <cell r="G36">
            <v>10000</v>
          </cell>
          <cell r="H36">
            <v>11250</v>
          </cell>
          <cell r="I36">
            <v>13250</v>
          </cell>
          <cell r="J36">
            <v>10500</v>
          </cell>
          <cell r="K36">
            <v>8000</v>
          </cell>
          <cell r="L36">
            <v>5500</v>
          </cell>
          <cell r="M36">
            <v>4000</v>
          </cell>
          <cell r="N36">
            <v>4000</v>
          </cell>
          <cell r="O36">
            <v>4000</v>
          </cell>
          <cell r="P36">
            <v>4000</v>
          </cell>
          <cell r="Q36">
            <v>4000</v>
          </cell>
        </row>
        <row r="37">
          <cell r="F37">
            <v>4424.7512455399992</v>
          </cell>
          <cell r="G37">
            <v>4195.1552196899993</v>
          </cell>
          <cell r="H37">
            <v>3779.4550037799995</v>
          </cell>
          <cell r="I37">
            <v>3224.7584968199994</v>
          </cell>
          <cell r="J37">
            <v>2800.4725111419993</v>
          </cell>
          <cell r="K37">
            <v>2546.6987606519992</v>
          </cell>
          <cell r="L37">
            <v>2452.4912017419992</v>
          </cell>
          <cell r="M37">
            <v>2461.6280793379992</v>
          </cell>
          <cell r="N37">
            <v>2533.9191591939993</v>
          </cell>
          <cell r="O37">
            <v>2604.6978386939995</v>
          </cell>
          <cell r="P37">
            <v>2759.8545264739996</v>
          </cell>
          <cell r="Q37">
            <v>3029.7077420999999</v>
          </cell>
        </row>
        <row r="38">
          <cell r="F38">
            <v>1063</v>
          </cell>
          <cell r="G38">
            <v>1055</v>
          </cell>
          <cell r="H38">
            <v>1040</v>
          </cell>
          <cell r="I38">
            <v>1017</v>
          </cell>
          <cell r="J38">
            <v>999</v>
          </cell>
          <cell r="K38">
            <v>987</v>
          </cell>
          <cell r="L38">
            <v>982</v>
          </cell>
          <cell r="M38">
            <v>982</v>
          </cell>
          <cell r="N38">
            <v>986</v>
          </cell>
          <cell r="O38">
            <v>989</v>
          </cell>
          <cell r="P38">
            <v>997</v>
          </cell>
          <cell r="Q38">
            <v>1009</v>
          </cell>
        </row>
        <row r="39">
          <cell r="F39">
            <v>28292.110000000015</v>
          </cell>
          <cell r="G39">
            <v>29321.549999999981</v>
          </cell>
          <cell r="H39">
            <v>28292.110000000015</v>
          </cell>
          <cell r="I39">
            <v>26412.639999999985</v>
          </cell>
          <cell r="J39">
            <v>23656.097999999991</v>
          </cell>
          <cell r="K39">
            <v>21602.941999999999</v>
          </cell>
          <cell r="L39">
            <v>20285.910000000003</v>
          </cell>
          <cell r="M39">
            <v>19749.132000000005</v>
          </cell>
          <cell r="N39">
            <v>19749.132000000005</v>
          </cell>
          <cell r="O39">
            <v>20177.700000000012</v>
          </cell>
          <cell r="P39">
            <v>20502.329999999987</v>
          </cell>
          <cell r="Q39">
            <v>21380.825999999994</v>
          </cell>
        </row>
        <row r="40">
          <cell r="F40">
            <v>4000</v>
          </cell>
          <cell r="G40">
            <v>4000</v>
          </cell>
          <cell r="H40">
            <v>4000</v>
          </cell>
          <cell r="I40">
            <v>4000</v>
          </cell>
          <cell r="J40">
            <v>4000</v>
          </cell>
          <cell r="K40">
            <v>4000</v>
          </cell>
          <cell r="L40">
            <v>4000</v>
          </cell>
          <cell r="M40">
            <v>4000</v>
          </cell>
          <cell r="N40">
            <v>4000</v>
          </cell>
          <cell r="O40">
            <v>4500</v>
          </cell>
          <cell r="P40">
            <v>4500</v>
          </cell>
          <cell r="Q40">
            <v>4500</v>
          </cell>
        </row>
        <row r="41">
          <cell r="F41">
            <v>8172</v>
          </cell>
          <cell r="G41">
            <v>-2704</v>
          </cell>
          <cell r="H41">
            <v>-4495</v>
          </cell>
          <cell r="I41">
            <v>-5412</v>
          </cell>
          <cell r="J41">
            <v>-4046</v>
          </cell>
          <cell r="K41">
            <v>-1975</v>
          </cell>
          <cell r="L41">
            <v>-770.93055560392997</v>
          </cell>
          <cell r="M41">
            <v>-73.11532525840876</v>
          </cell>
          <cell r="N41">
            <v>740</v>
          </cell>
          <cell r="O41">
            <v>2323</v>
          </cell>
          <cell r="P41">
            <v>1842</v>
          </cell>
          <cell r="Q41">
            <v>2695</v>
          </cell>
        </row>
        <row r="42">
          <cell r="F42">
            <v>15572</v>
          </cell>
          <cell r="G42">
            <v>7587</v>
          </cell>
          <cell r="H42">
            <v>6997</v>
          </cell>
          <cell r="I42">
            <v>7988</v>
          </cell>
          <cell r="J42">
            <v>6604</v>
          </cell>
          <cell r="K42">
            <v>6175</v>
          </cell>
          <cell r="L42">
            <v>4929.0694443960701</v>
          </cell>
          <cell r="M42">
            <v>4126.8846747415919</v>
          </cell>
          <cell r="N42">
            <v>4940</v>
          </cell>
          <cell r="O42">
            <v>6523</v>
          </cell>
          <cell r="P42">
            <v>6042</v>
          </cell>
          <cell r="Q42">
            <v>7058</v>
          </cell>
        </row>
        <row r="43">
          <cell r="F43">
            <v>4500</v>
          </cell>
          <cell r="G43">
            <v>5500</v>
          </cell>
          <cell r="H43">
            <v>5500</v>
          </cell>
          <cell r="I43">
            <v>5500</v>
          </cell>
          <cell r="J43">
            <v>3250</v>
          </cell>
          <cell r="K43">
            <v>3250</v>
          </cell>
          <cell r="L43">
            <v>3250</v>
          </cell>
          <cell r="M43">
            <v>3250</v>
          </cell>
          <cell r="N43">
            <v>6000</v>
          </cell>
          <cell r="O43">
            <v>5500</v>
          </cell>
          <cell r="P43">
            <v>5500</v>
          </cell>
          <cell r="Q43">
            <v>3750</v>
          </cell>
        </row>
        <row r="45">
          <cell r="G45">
            <v>314</v>
          </cell>
          <cell r="H45">
            <v>167</v>
          </cell>
          <cell r="I45">
            <v>112</v>
          </cell>
          <cell r="J45">
            <v>107</v>
          </cell>
          <cell r="K45">
            <v>93</v>
          </cell>
          <cell r="L45">
            <v>50</v>
          </cell>
          <cell r="M45">
            <v>50</v>
          </cell>
          <cell r="N45">
            <v>70</v>
          </cell>
          <cell r="O45">
            <v>70</v>
          </cell>
          <cell r="P45">
            <v>110</v>
          </cell>
          <cell r="Q45">
            <v>180</v>
          </cell>
        </row>
        <row r="46">
          <cell r="G46">
            <v>5.4122473079999986</v>
          </cell>
          <cell r="H46">
            <v>6.5953167839999987</v>
          </cell>
          <cell r="I46">
            <v>8.3274624799999994</v>
          </cell>
          <cell r="J46">
            <v>6.4324596599999975</v>
          </cell>
          <cell r="K46">
            <v>4.6069160199999999</v>
          </cell>
          <cell r="L46">
            <v>2.2228157699999995</v>
          </cell>
          <cell r="M46">
            <v>0.96041215199999996</v>
          </cell>
          <cell r="N46">
            <v>0.58166006399999992</v>
          </cell>
          <cell r="O46">
            <v>0.98539418999999973</v>
          </cell>
          <cell r="P46">
            <v>0.81897450000000005</v>
          </cell>
          <cell r="Q46">
            <v>1.1606519779999993</v>
          </cell>
        </row>
        <row r="47">
          <cell r="G47">
            <v>195.21900000000002</v>
          </cell>
          <cell r="H47">
            <v>203.41341999999983</v>
          </cell>
          <cell r="I47">
            <v>351.10149999999999</v>
          </cell>
          <cell r="J47">
            <v>286.44016999999997</v>
          </cell>
          <cell r="K47">
            <v>128.85185999999996</v>
          </cell>
          <cell r="L47">
            <v>99.314175000000034</v>
          </cell>
          <cell r="M47">
            <v>95.234999999999999</v>
          </cell>
          <cell r="N47">
            <v>98.409500000000008</v>
          </cell>
          <cell r="O47">
            <v>83.041250000000005</v>
          </cell>
          <cell r="P47">
            <v>82.276472000000069</v>
          </cell>
          <cell r="Q47">
            <v>83.041250000000005</v>
          </cell>
        </row>
        <row r="48">
          <cell r="G48">
            <v>9</v>
          </cell>
          <cell r="H48">
            <v>9</v>
          </cell>
          <cell r="I48">
            <v>9</v>
          </cell>
          <cell r="J48">
            <v>11</v>
          </cell>
          <cell r="K48">
            <v>8</v>
          </cell>
          <cell r="L48">
            <v>6</v>
          </cell>
          <cell r="M48">
            <v>5</v>
          </cell>
          <cell r="N48">
            <v>5</v>
          </cell>
          <cell r="O48">
            <v>5</v>
          </cell>
          <cell r="P48">
            <v>5</v>
          </cell>
          <cell r="Q48">
            <v>5</v>
          </cell>
        </row>
        <row r="49">
          <cell r="G49">
            <v>1.8</v>
          </cell>
          <cell r="H49">
            <v>3</v>
          </cell>
          <cell r="I49">
            <v>4</v>
          </cell>
          <cell r="J49">
            <v>3</v>
          </cell>
          <cell r="K49">
            <v>1.8</v>
          </cell>
          <cell r="L49">
            <v>1</v>
          </cell>
          <cell r="M49">
            <v>1</v>
          </cell>
          <cell r="N49">
            <v>1.2</v>
          </cell>
          <cell r="O49">
            <v>1.2</v>
          </cell>
          <cell r="P49">
            <v>1.2</v>
          </cell>
          <cell r="Q49">
            <v>1.2</v>
          </cell>
        </row>
        <row r="50">
          <cell r="F50">
            <v>4000</v>
          </cell>
          <cell r="G50">
            <v>3000</v>
          </cell>
          <cell r="H50">
            <v>3200</v>
          </cell>
          <cell r="I50">
            <v>5500</v>
          </cell>
          <cell r="J50">
            <v>4400</v>
          </cell>
          <cell r="K50">
            <v>2000</v>
          </cell>
          <cell r="L50">
            <v>1500</v>
          </cell>
          <cell r="M50">
            <v>1500</v>
          </cell>
          <cell r="N50">
            <v>1500</v>
          </cell>
          <cell r="O50">
            <v>1250</v>
          </cell>
          <cell r="P50">
            <v>1000</v>
          </cell>
          <cell r="Q50">
            <v>1250</v>
          </cell>
        </row>
        <row r="51">
          <cell r="G51">
            <v>184.41900000000001</v>
          </cell>
          <cell r="H51">
            <v>190.36799999999999</v>
          </cell>
          <cell r="I51">
            <v>338.10149999999999</v>
          </cell>
          <cell r="J51">
            <v>270.4812</v>
          </cell>
          <cell r="K51">
            <v>118.98</v>
          </cell>
          <cell r="L51">
            <v>92.209500000000006</v>
          </cell>
          <cell r="M51">
            <v>89.234999999999999</v>
          </cell>
          <cell r="N51">
            <v>92.209500000000006</v>
          </cell>
          <cell r="O51">
            <v>76.841250000000002</v>
          </cell>
          <cell r="P51">
            <v>55.523999999999994</v>
          </cell>
          <cell r="Q51">
            <v>76.841250000000002</v>
          </cell>
        </row>
        <row r="52">
          <cell r="G52">
            <v>184.41900000000001</v>
          </cell>
          <cell r="H52">
            <v>191.41341999999983</v>
          </cell>
          <cell r="I52">
            <v>338.10149999999999</v>
          </cell>
          <cell r="J52">
            <v>272.44016999999997</v>
          </cell>
          <cell r="K52">
            <v>119.05185999999996</v>
          </cell>
          <cell r="L52">
            <v>92.314175000000034</v>
          </cell>
          <cell r="M52">
            <v>89.234999999999999</v>
          </cell>
          <cell r="N52">
            <v>92.209500000000006</v>
          </cell>
          <cell r="O52">
            <v>76.841250000000002</v>
          </cell>
          <cell r="P52">
            <v>76.076472000000066</v>
          </cell>
          <cell r="Q52">
            <v>76.841250000000002</v>
          </cell>
        </row>
        <row r="53">
          <cell r="F53">
            <v>830.34967198000004</v>
          </cell>
          <cell r="G53">
            <v>943.71842467199997</v>
          </cell>
          <cell r="H53">
            <v>900.70968788799996</v>
          </cell>
          <cell r="I53">
            <v>653.28072540799997</v>
          </cell>
          <cell r="J53">
            <v>467.40809574799999</v>
          </cell>
          <cell r="K53">
            <v>426.94931972800009</v>
          </cell>
          <cell r="L53">
            <v>375.41232895800005</v>
          </cell>
          <cell r="M53">
            <v>329.21691680600003</v>
          </cell>
          <cell r="N53">
            <v>300.22575674199999</v>
          </cell>
          <cell r="O53">
            <v>286.19911255199997</v>
          </cell>
          <cell r="P53">
            <v>313.10366605199988</v>
          </cell>
          <cell r="Q53">
            <v>408.90176407399991</v>
          </cell>
        </row>
        <row r="54">
          <cell r="F54">
            <v>452</v>
          </cell>
          <cell r="G54">
            <v>463</v>
          </cell>
          <cell r="H54">
            <v>459</v>
          </cell>
          <cell r="I54">
            <v>434</v>
          </cell>
          <cell r="J54">
            <v>412</v>
          </cell>
          <cell r="K54">
            <v>407</v>
          </cell>
          <cell r="L54">
            <v>399</v>
          </cell>
          <cell r="M54">
            <v>392</v>
          </cell>
          <cell r="N54">
            <v>387</v>
          </cell>
          <cell r="O54">
            <v>385</v>
          </cell>
          <cell r="P54">
            <v>389</v>
          </cell>
          <cell r="Q54">
            <v>404</v>
          </cell>
        </row>
        <row r="55">
          <cell r="F55">
            <v>10078.57</v>
          </cell>
          <cell r="G55">
            <v>10675.043999999998</v>
          </cell>
          <cell r="H55">
            <v>11351.663999999999</v>
          </cell>
          <cell r="I55">
            <v>10899.82</v>
          </cell>
          <cell r="J55">
            <v>9047.0599999999977</v>
          </cell>
          <cell r="K55">
            <v>7742.7159999999994</v>
          </cell>
          <cell r="L55">
            <v>7384.7699999999995</v>
          </cell>
          <cell r="M55">
            <v>6533.4160000000002</v>
          </cell>
          <cell r="N55">
            <v>6322.3919999999998</v>
          </cell>
          <cell r="O55">
            <v>5972.0859999999984</v>
          </cell>
          <cell r="P55">
            <v>6111.75</v>
          </cell>
          <cell r="Q55">
            <v>5832.4219999999968</v>
          </cell>
        </row>
        <row r="56">
          <cell r="F56">
            <v>1750</v>
          </cell>
          <cell r="G56">
            <v>2500</v>
          </cell>
          <cell r="H56">
            <v>3520</v>
          </cell>
          <cell r="I56">
            <v>2750</v>
          </cell>
          <cell r="J56">
            <v>3750</v>
          </cell>
          <cell r="K56">
            <v>3500</v>
          </cell>
          <cell r="L56">
            <v>2250</v>
          </cell>
          <cell r="M56">
            <v>2250</v>
          </cell>
          <cell r="N56">
            <v>2500</v>
          </cell>
          <cell r="O56">
            <v>2500</v>
          </cell>
          <cell r="P56">
            <v>2500</v>
          </cell>
          <cell r="Q56">
            <v>2500</v>
          </cell>
        </row>
        <row r="58">
          <cell r="F58">
            <v>129</v>
          </cell>
          <cell r="G58">
            <v>171</v>
          </cell>
          <cell r="H58">
            <v>147</v>
          </cell>
          <cell r="I58">
            <v>59</v>
          </cell>
          <cell r="J58">
            <v>42</v>
          </cell>
          <cell r="K58">
            <v>39</v>
          </cell>
          <cell r="L58">
            <v>30</v>
          </cell>
          <cell r="M58">
            <v>30</v>
          </cell>
          <cell r="N58">
            <v>30</v>
          </cell>
          <cell r="O58">
            <v>20</v>
          </cell>
          <cell r="P58">
            <v>25</v>
          </cell>
          <cell r="Q58">
            <v>45</v>
          </cell>
        </row>
        <row r="59">
          <cell r="F59">
            <v>4.2923408440000008</v>
          </cell>
          <cell r="G59">
            <v>5.519655258000002</v>
          </cell>
          <cell r="H59">
            <v>6.3027995520000024</v>
          </cell>
          <cell r="I59">
            <v>8.3471553440000008</v>
          </cell>
          <cell r="J59">
            <v>7.6036700520000045</v>
          </cell>
          <cell r="K59">
            <v>6.2268416000000038</v>
          </cell>
          <cell r="L59">
            <v>3.1044983480000008</v>
          </cell>
          <cell r="M59">
            <v>1.4830371359999999</v>
          </cell>
          <cell r="N59">
            <v>0.92815929600000002</v>
          </cell>
          <cell r="O59">
            <v>1.6708107900000002</v>
          </cell>
          <cell r="P59">
            <v>1.3569008840000001</v>
          </cell>
          <cell r="Q59">
            <v>2.0225492360000006</v>
          </cell>
        </row>
        <row r="60">
          <cell r="F60">
            <v>185.05918500000001</v>
          </cell>
          <cell r="G60">
            <v>179.76871700000001</v>
          </cell>
          <cell r="H60">
            <v>124.6147</v>
          </cell>
          <cell r="I60">
            <v>113.36825</v>
          </cell>
          <cell r="J60">
            <v>93.368250000000003</v>
          </cell>
          <cell r="K60">
            <v>79.672499999999999</v>
          </cell>
          <cell r="L60">
            <v>90.792000000000002</v>
          </cell>
          <cell r="M60">
            <v>21.898</v>
          </cell>
          <cell r="N60">
            <v>21.294599999999999</v>
          </cell>
          <cell r="O60">
            <v>13.881</v>
          </cell>
          <cell r="P60">
            <v>21.691200000000002</v>
          </cell>
          <cell r="Q60">
            <v>22.794599999999999</v>
          </cell>
        </row>
        <row r="61">
          <cell r="F61">
            <v>62.6</v>
          </cell>
          <cell r="G61">
            <v>67</v>
          </cell>
          <cell r="H61">
            <v>67</v>
          </cell>
          <cell r="I61">
            <v>67</v>
          </cell>
          <cell r="J61">
            <v>67</v>
          </cell>
          <cell r="K61">
            <v>63.8</v>
          </cell>
          <cell r="L61">
            <v>57</v>
          </cell>
          <cell r="M61">
            <v>57</v>
          </cell>
          <cell r="N61">
            <v>57</v>
          </cell>
          <cell r="O61">
            <v>57</v>
          </cell>
          <cell r="P61">
            <v>57</v>
          </cell>
          <cell r="Q61">
            <v>58.5</v>
          </cell>
        </row>
        <row r="62">
          <cell r="F62">
            <v>1536.6666666666667</v>
          </cell>
          <cell r="G62">
            <v>1241.9354838709678</v>
          </cell>
          <cell r="H62">
            <v>363.33333333333331</v>
          </cell>
          <cell r="I62">
            <v>250</v>
          </cell>
          <cell r="J62">
            <v>250</v>
          </cell>
          <cell r="K62">
            <v>250</v>
          </cell>
          <cell r="L62">
            <v>774.19354838709683</v>
          </cell>
          <cell r="M62">
            <v>200</v>
          </cell>
          <cell r="N62">
            <v>200</v>
          </cell>
          <cell r="O62">
            <v>225.80645161290323</v>
          </cell>
          <cell r="P62">
            <v>228.57142857142858</v>
          </cell>
          <cell r="Q62">
            <v>200</v>
          </cell>
        </row>
        <row r="63">
          <cell r="F63">
            <v>91.459185000000005</v>
          </cell>
          <cell r="G63">
            <v>76.368717000000004</v>
          </cell>
          <cell r="H63">
            <v>21.614699999999999</v>
          </cell>
          <cell r="I63">
            <v>15.36825</v>
          </cell>
          <cell r="J63">
            <v>15.36825</v>
          </cell>
          <cell r="K63">
            <v>14.8725</v>
          </cell>
          <cell r="L63">
            <v>47.592000000000006</v>
          </cell>
          <cell r="M63">
            <v>11.898</v>
          </cell>
          <cell r="N63">
            <v>12.294599999999999</v>
          </cell>
          <cell r="O63">
            <v>13.881</v>
          </cell>
          <cell r="P63">
            <v>12.6912</v>
          </cell>
          <cell r="Q63">
            <v>12.294599999999999</v>
          </cell>
        </row>
        <row r="64">
          <cell r="F64">
            <v>80</v>
          </cell>
          <cell r="G64">
            <v>90</v>
          </cell>
          <cell r="H64">
            <v>95</v>
          </cell>
          <cell r="I64">
            <v>90</v>
          </cell>
          <cell r="J64">
            <v>70</v>
          </cell>
          <cell r="K64">
            <v>60</v>
          </cell>
          <cell r="L64">
            <v>40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</row>
        <row r="65">
          <cell r="F65">
            <v>9</v>
          </cell>
          <cell r="G65">
            <v>9</v>
          </cell>
          <cell r="H65">
            <v>8</v>
          </cell>
          <cell r="I65">
            <v>8</v>
          </cell>
          <cell r="J65">
            <v>8</v>
          </cell>
          <cell r="K65">
            <v>8</v>
          </cell>
          <cell r="L65">
            <v>10</v>
          </cell>
          <cell r="M65">
            <v>10</v>
          </cell>
          <cell r="N65">
            <v>9</v>
          </cell>
          <cell r="O65">
            <v>0</v>
          </cell>
          <cell r="P65">
            <v>9</v>
          </cell>
          <cell r="Q65">
            <v>9</v>
          </cell>
        </row>
        <row r="66">
          <cell r="D66">
            <v>2008</v>
          </cell>
          <cell r="F66">
            <v>1947.648474156</v>
          </cell>
          <cell r="G66">
            <v>1933.3601018979998</v>
          </cell>
          <cell r="H66">
            <v>1949.4426023459998</v>
          </cell>
          <cell r="I66">
            <v>1886.7271970019999</v>
          </cell>
          <cell r="J66">
            <v>1827.7552769499998</v>
          </cell>
          <cell r="K66">
            <v>1780.85593535</v>
          </cell>
          <cell r="L66">
            <v>1716.959437002</v>
          </cell>
          <cell r="M66">
            <v>1723.5783998660002</v>
          </cell>
          <cell r="N66">
            <v>1731.3556405700001</v>
          </cell>
          <cell r="O66">
            <v>1735.8038297800001</v>
          </cell>
          <cell r="P66">
            <v>1737.7557288960002</v>
          </cell>
          <cell r="Q66">
            <v>1757.9385796600002</v>
          </cell>
        </row>
        <row r="67">
          <cell r="F67">
            <v>1047</v>
          </cell>
          <cell r="G67">
            <v>1046</v>
          </cell>
          <cell r="H67">
            <v>1048</v>
          </cell>
          <cell r="I67">
            <v>1042</v>
          </cell>
          <cell r="J67">
            <v>1036</v>
          </cell>
          <cell r="K67">
            <v>1032</v>
          </cell>
          <cell r="L67">
            <v>1026</v>
          </cell>
          <cell r="M67">
            <v>1026</v>
          </cell>
          <cell r="N67">
            <v>1027</v>
          </cell>
          <cell r="O67">
            <v>1027</v>
          </cell>
          <cell r="P67">
            <v>1028</v>
          </cell>
          <cell r="Q67">
            <v>1030</v>
          </cell>
        </row>
        <row r="68">
          <cell r="F68">
            <v>11120.054000000002</v>
          </cell>
          <cell r="G68">
            <v>10886.894000000004</v>
          </cell>
          <cell r="H68">
            <v>10848.192000000005</v>
          </cell>
          <cell r="I68">
            <v>10925.596000000001</v>
          </cell>
          <cell r="J68">
            <v>10694.332000000006</v>
          </cell>
          <cell r="K68">
            <v>10465.280000000006</v>
          </cell>
          <cell r="L68">
            <v>10313.948000000004</v>
          </cell>
          <cell r="M68">
            <v>10088.688</v>
          </cell>
          <cell r="N68">
            <v>10088.688</v>
          </cell>
          <cell r="O68">
            <v>10126.126</v>
          </cell>
          <cell r="P68">
            <v>10126.126</v>
          </cell>
          <cell r="Q68">
            <v>10163.564000000002</v>
          </cell>
        </row>
        <row r="70">
          <cell r="F70">
            <v>188</v>
          </cell>
          <cell r="G70">
            <v>150</v>
          </cell>
          <cell r="H70">
            <v>60</v>
          </cell>
          <cell r="I70">
            <v>39</v>
          </cell>
          <cell r="J70">
            <v>37</v>
          </cell>
          <cell r="K70">
            <v>42</v>
          </cell>
          <cell r="L70">
            <v>59</v>
          </cell>
          <cell r="M70">
            <v>62</v>
          </cell>
          <cell r="N70">
            <v>63</v>
          </cell>
          <cell r="O70">
            <v>63</v>
          </cell>
          <cell r="P70">
            <v>70</v>
          </cell>
          <cell r="Q70">
            <v>86</v>
          </cell>
        </row>
        <row r="72">
          <cell r="F72">
            <v>4698.1843166918807</v>
          </cell>
          <cell r="G72">
            <v>3682.9283913262739</v>
          </cell>
          <cell r="H72">
            <v>1371.9062027231466</v>
          </cell>
          <cell r="I72">
            <v>884.4248694548827</v>
          </cell>
          <cell r="J72">
            <v>851.89026076488869</v>
          </cell>
          <cell r="K72">
            <v>956.00100857286941</v>
          </cell>
          <cell r="L72">
            <v>1733.9645047419194</v>
          </cell>
          <cell r="M72">
            <v>1242.1919650361403</v>
          </cell>
          <cell r="N72">
            <v>1224.8401737348104</v>
          </cell>
          <cell r="O72">
            <v>1250.6466253477136</v>
          </cell>
          <cell r="P72">
            <v>1489.2875153086952</v>
          </cell>
          <cell r="Q72">
            <v>1598.9881736697412</v>
          </cell>
        </row>
        <row r="73">
          <cell r="F73">
            <v>528</v>
          </cell>
          <cell r="G73">
            <v>436</v>
          </cell>
          <cell r="H73">
            <v>211</v>
          </cell>
          <cell r="I73">
            <v>130</v>
          </cell>
          <cell r="J73">
            <v>102</v>
          </cell>
          <cell r="K73">
            <v>113</v>
          </cell>
          <cell r="L73">
            <v>120</v>
          </cell>
          <cell r="M73">
            <v>120</v>
          </cell>
          <cell r="N73">
            <v>160</v>
          </cell>
          <cell r="O73">
            <v>170</v>
          </cell>
          <cell r="P73">
            <v>200</v>
          </cell>
          <cell r="Q73">
            <v>280</v>
          </cell>
        </row>
        <row r="74">
          <cell r="F74">
            <v>5.5603322160260147</v>
          </cell>
          <cell r="G74">
            <v>7.8098292324586511</v>
          </cell>
          <cell r="H74">
            <v>9.0949778226483264</v>
          </cell>
          <cell r="I74">
            <v>11.673923119601991</v>
          </cell>
          <cell r="J74">
            <v>9.5366454133794143</v>
          </cell>
          <cell r="K74">
            <v>6.919260775229346</v>
          </cell>
          <cell r="L74">
            <v>3.0154188457783428</v>
          </cell>
          <cell r="M74">
            <v>1.3848883172787645</v>
          </cell>
          <cell r="N74">
            <v>0.82165288741339626</v>
          </cell>
          <cell r="O74">
            <v>1.4475460172925314</v>
          </cell>
          <cell r="P74">
            <v>1.1967565675728569</v>
          </cell>
          <cell r="Q74">
            <v>1.8453291174173172</v>
          </cell>
        </row>
        <row r="75">
          <cell r="F75">
            <v>215.77600000000001</v>
          </cell>
          <cell r="G75">
            <v>352.12440000000004</v>
          </cell>
          <cell r="H75">
            <v>320.80150000000003</v>
          </cell>
          <cell r="I75">
            <v>683.85764999999992</v>
          </cell>
          <cell r="J75">
            <v>610.12114999999994</v>
          </cell>
          <cell r="K75">
            <v>539.81799999999998</v>
          </cell>
          <cell r="L75">
            <v>273.41899999999998</v>
          </cell>
          <cell r="M75">
            <v>235.10750000000002</v>
          </cell>
          <cell r="N75">
            <v>203.57774999999998</v>
          </cell>
          <cell r="O75">
            <v>130.84125</v>
          </cell>
          <cell r="P75">
            <v>111.04799999999999</v>
          </cell>
          <cell r="Q75">
            <v>107.57774999999999</v>
          </cell>
        </row>
        <row r="76">
          <cell r="D76">
            <v>3109</v>
          </cell>
          <cell r="F76">
            <v>3415.6636677839742</v>
          </cell>
          <cell r="G76">
            <v>3491.7294385515156</v>
          </cell>
          <cell r="H76">
            <v>3372.8329607288674</v>
          </cell>
          <cell r="I76">
            <v>2807.3013876092655</v>
          </cell>
          <cell r="J76">
            <v>2289.643592195886</v>
          </cell>
          <cell r="K76">
            <v>1855.9063314206567</v>
          </cell>
          <cell r="L76">
            <v>1699.4719125748782</v>
          </cell>
          <cell r="M76">
            <v>1582.9795242575992</v>
          </cell>
          <cell r="N76">
            <v>1538.5801213701859</v>
          </cell>
          <cell r="O76">
            <v>1576.2913253528934</v>
          </cell>
          <cell r="P76">
            <v>1664.0465687853205</v>
          </cell>
          <cell r="Q76">
            <v>1834.6234896679032</v>
          </cell>
        </row>
        <row r="77">
          <cell r="F77">
            <v>892.37845575435824</v>
          </cell>
          <cell r="G77">
            <v>897.17102854328073</v>
          </cell>
          <cell r="H77">
            <v>889.79583756610282</v>
          </cell>
          <cell r="I77">
            <v>850.34386012229129</v>
          </cell>
          <cell r="J77">
            <v>808.59233675204666</v>
          </cell>
          <cell r="K77">
            <v>768.89322399651815</v>
          </cell>
          <cell r="L77">
            <v>752.67740111884189</v>
          </cell>
          <cell r="M77">
            <v>739.6527512797602</v>
          </cell>
          <cell r="N77">
            <v>734.79037608443912</v>
          </cell>
          <cell r="O77">
            <v>739.31020430712283</v>
          </cell>
          <cell r="P77">
            <v>748.59566905507518</v>
          </cell>
          <cell r="Q77">
            <v>766.62543069066282</v>
          </cell>
        </row>
        <row r="78">
          <cell r="F78">
            <v>14405.005741000039</v>
          </cell>
          <cell r="G78">
            <v>15404.002430884913</v>
          </cell>
          <cell r="H78">
            <v>15654.006579429135</v>
          </cell>
          <cell r="I78">
            <v>15280.004083248677</v>
          </cell>
          <cell r="J78">
            <v>13413.003394345167</v>
          </cell>
          <cell r="K78">
            <v>11629.009706267809</v>
          </cell>
          <cell r="L78">
            <v>10018.002809894828</v>
          </cell>
          <cell r="M78">
            <v>9421.0089610800314</v>
          </cell>
          <cell r="N78">
            <v>8931.0096457977852</v>
          </cell>
          <cell r="O78">
            <v>8773.0061654092806</v>
          </cell>
          <cell r="P78">
            <v>8931.0191609914691</v>
          </cell>
          <cell r="Q78">
            <v>9273.0106402880247</v>
          </cell>
        </row>
        <row r="79">
          <cell r="F79">
            <v>2400</v>
          </cell>
          <cell r="G79">
            <v>2800</v>
          </cell>
          <cell r="H79">
            <v>2350</v>
          </cell>
          <cell r="I79">
            <v>8050</v>
          </cell>
          <cell r="J79">
            <v>7550</v>
          </cell>
          <cell r="K79">
            <v>8200</v>
          </cell>
          <cell r="L79">
            <v>3000</v>
          </cell>
          <cell r="M79">
            <v>1750</v>
          </cell>
          <cell r="N79">
            <v>1750</v>
          </cell>
          <cell r="O79">
            <v>1250</v>
          </cell>
          <cell r="P79">
            <v>2000</v>
          </cell>
          <cell r="Q79">
            <v>1750</v>
          </cell>
        </row>
        <row r="80"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F81">
            <v>142.77600000000001</v>
          </cell>
          <cell r="G81">
            <v>172.12440000000001</v>
          </cell>
          <cell r="H81">
            <v>139.8015</v>
          </cell>
          <cell r="I81">
            <v>494.85764999999998</v>
          </cell>
          <cell r="J81">
            <v>464.12115</v>
          </cell>
          <cell r="K81">
            <v>487.81799999999998</v>
          </cell>
          <cell r="L81">
            <v>184.41900000000001</v>
          </cell>
          <cell r="M81">
            <v>104.1075</v>
          </cell>
          <cell r="N81">
            <v>107.57774999999999</v>
          </cell>
          <cell r="O81">
            <v>76.841250000000002</v>
          </cell>
          <cell r="P81">
            <v>111.04799999999999</v>
          </cell>
          <cell r="Q81">
            <v>107.57774999999999</v>
          </cell>
        </row>
        <row r="82">
          <cell r="F82">
            <v>73</v>
          </cell>
          <cell r="G82">
            <v>180</v>
          </cell>
          <cell r="H82">
            <v>181</v>
          </cell>
          <cell r="I82">
            <v>189</v>
          </cell>
          <cell r="J82">
            <v>146</v>
          </cell>
          <cell r="K82">
            <v>52</v>
          </cell>
          <cell r="L82">
            <v>89</v>
          </cell>
          <cell r="M82">
            <v>131</v>
          </cell>
          <cell r="N82">
            <v>96</v>
          </cell>
          <cell r="O82">
            <v>54</v>
          </cell>
          <cell r="P82">
            <v>0</v>
          </cell>
          <cell r="Q82">
            <v>0</v>
          </cell>
        </row>
        <row r="86">
          <cell r="F86">
            <v>28785.711884350312</v>
          </cell>
          <cell r="G86">
            <v>15638.768939209083</v>
          </cell>
          <cell r="H86">
            <v>14075.878298873758</v>
          </cell>
          <cell r="I86">
            <v>22595.242626844305</v>
          </cell>
          <cell r="J86">
            <v>20393.486083321131</v>
          </cell>
          <cell r="K86">
            <v>19232.028240040345</v>
          </cell>
          <cell r="L86">
            <v>12044.788362370471</v>
          </cell>
          <cell r="M86">
            <v>10206.765842998824</v>
          </cell>
          <cell r="N86">
            <v>13032.938851202967</v>
          </cell>
          <cell r="O86">
            <v>11804.680103460056</v>
          </cell>
          <cell r="P86">
            <v>12108.732656148693</v>
          </cell>
          <cell r="Q86">
            <v>12765.3717729735</v>
          </cell>
        </row>
        <row r="93">
          <cell r="F93">
            <v>12</v>
          </cell>
          <cell r="G93">
            <v>12</v>
          </cell>
          <cell r="H93">
            <v>10</v>
          </cell>
          <cell r="I93">
            <v>11</v>
          </cell>
          <cell r="J93">
            <v>12</v>
          </cell>
          <cell r="K93">
            <v>13</v>
          </cell>
          <cell r="L93">
            <v>14</v>
          </cell>
          <cell r="M93">
            <v>14</v>
          </cell>
          <cell r="N93">
            <v>14</v>
          </cell>
          <cell r="O93">
            <v>13</v>
          </cell>
          <cell r="P93">
            <v>14</v>
          </cell>
          <cell r="Q93">
            <v>12</v>
          </cell>
        </row>
        <row r="97">
          <cell r="F97">
            <v>57.124800000000008</v>
          </cell>
          <cell r="G97">
            <v>138.34912500000002</v>
          </cell>
          <cell r="H97">
            <v>194</v>
          </cell>
          <cell r="I97">
            <v>262</v>
          </cell>
          <cell r="J97">
            <v>250</v>
          </cell>
          <cell r="K97">
            <v>202</v>
          </cell>
          <cell r="L97">
            <v>152</v>
          </cell>
          <cell r="M97">
            <v>154</v>
          </cell>
          <cell r="N97">
            <v>230</v>
          </cell>
          <cell r="O97">
            <v>220</v>
          </cell>
          <cell r="P97">
            <v>44</v>
          </cell>
          <cell r="Q97">
            <v>55</v>
          </cell>
        </row>
        <row r="98">
          <cell r="F98">
            <v>0</v>
          </cell>
          <cell r="G98">
            <v>0</v>
          </cell>
          <cell r="H98">
            <v>0</v>
          </cell>
          <cell r="I98">
            <v>15</v>
          </cell>
          <cell r="J98">
            <v>15</v>
          </cell>
          <cell r="K98">
            <v>15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</row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  <row r="100"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</row>
        <row r="102"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</row>
        <row r="103"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</row>
        <row r="109">
          <cell r="F109">
            <v>62.480249999999998</v>
          </cell>
          <cell r="G109">
            <v>36.893100000000004</v>
          </cell>
          <cell r="H109">
            <v>48</v>
          </cell>
          <cell r="I109">
            <v>413</v>
          </cell>
          <cell r="J109">
            <v>409</v>
          </cell>
          <cell r="K109">
            <v>394</v>
          </cell>
          <cell r="L109">
            <v>151</v>
          </cell>
          <cell r="M109">
            <v>221</v>
          </cell>
          <cell r="N109">
            <v>160</v>
          </cell>
          <cell r="O109">
            <v>160</v>
          </cell>
          <cell r="P109">
            <v>111</v>
          </cell>
          <cell r="Q109">
            <v>183</v>
          </cell>
        </row>
        <row r="122">
          <cell r="F122">
            <v>0</v>
          </cell>
          <cell r="G122">
            <v>0</v>
          </cell>
          <cell r="H122">
            <v>-0.22670000000005075</v>
          </cell>
          <cell r="I122">
            <v>0.68182000000001608</v>
          </cell>
          <cell r="J122">
            <v>-7.139599999999291E-2</v>
          </cell>
          <cell r="K122">
            <v>-0.51532800000001089</v>
          </cell>
          <cell r="L122">
            <v>0.20685500000001866</v>
          </cell>
          <cell r="M122">
            <v>0.23272500000001628</v>
          </cell>
          <cell r="N122">
            <v>0</v>
          </cell>
          <cell r="O122">
            <v>0</v>
          </cell>
          <cell r="P122">
            <v>0.38837240000006545</v>
          </cell>
          <cell r="Q122">
            <v>-1.5061854499999754</v>
          </cell>
        </row>
        <row r="123">
          <cell r="F123">
            <v>0</v>
          </cell>
          <cell r="G123">
            <v>0</v>
          </cell>
          <cell r="H123">
            <v>-0.22670000000005075</v>
          </cell>
          <cell r="I123">
            <v>0.45511999999996533</v>
          </cell>
          <cell r="J123">
            <v>0.38372399999997242</v>
          </cell>
          <cell r="K123">
            <v>-0.13160400000003847</v>
          </cell>
          <cell r="L123">
            <v>7.5250999999980195E-2</v>
          </cell>
          <cell r="M123">
            <v>0.30797599999999647</v>
          </cell>
          <cell r="N123">
            <v>0.30797599999999647</v>
          </cell>
          <cell r="O123">
            <v>0.30797599999999647</v>
          </cell>
          <cell r="P123">
            <v>0.69634840000006193</v>
          </cell>
          <cell r="Q123">
            <v>-0.80983704999991346</v>
          </cell>
        </row>
        <row r="124">
          <cell r="F124">
            <v>1829</v>
          </cell>
          <cell r="G124">
            <v>897</v>
          </cell>
          <cell r="H124">
            <v>469</v>
          </cell>
          <cell r="I124">
            <v>492</v>
          </cell>
          <cell r="J124">
            <v>402</v>
          </cell>
          <cell r="K124">
            <v>446</v>
          </cell>
          <cell r="L124">
            <v>461</v>
          </cell>
          <cell r="M124">
            <v>268</v>
          </cell>
          <cell r="N124">
            <v>465</v>
          </cell>
          <cell r="O124">
            <v>485</v>
          </cell>
          <cell r="P124">
            <v>633</v>
          </cell>
          <cell r="Q124">
            <v>701</v>
          </cell>
        </row>
        <row r="125">
          <cell r="F125">
            <v>938</v>
          </cell>
          <cell r="G125">
            <v>297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188</v>
          </cell>
          <cell r="O125">
            <v>116</v>
          </cell>
          <cell r="P125">
            <v>0</v>
          </cell>
          <cell r="Q125">
            <v>0</v>
          </cell>
        </row>
        <row r="127">
          <cell r="F127">
            <v>1</v>
          </cell>
          <cell r="G127">
            <v>1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1</v>
          </cell>
          <cell r="P127">
            <v>1</v>
          </cell>
          <cell r="Q127">
            <v>1</v>
          </cell>
        </row>
        <row r="131">
          <cell r="F131">
            <v>0.35</v>
          </cell>
          <cell r="G131">
            <v>0.35</v>
          </cell>
          <cell r="H131">
            <v>0.35</v>
          </cell>
          <cell r="I131">
            <v>0.65</v>
          </cell>
          <cell r="J131">
            <v>0.65</v>
          </cell>
          <cell r="K131">
            <v>0.65</v>
          </cell>
          <cell r="L131">
            <v>0.65</v>
          </cell>
          <cell r="M131">
            <v>0.65</v>
          </cell>
          <cell r="N131">
            <v>0.65</v>
          </cell>
          <cell r="O131">
            <v>0.65</v>
          </cell>
          <cell r="P131">
            <v>0.45</v>
          </cell>
          <cell r="Q131">
            <v>0.35</v>
          </cell>
        </row>
        <row r="132">
          <cell r="F132">
            <v>5.909449596772564E-2</v>
          </cell>
          <cell r="G132">
            <v>0.14402153173129972</v>
          </cell>
          <cell r="H132">
            <v>0.25823591923485656</v>
          </cell>
          <cell r="I132">
            <v>0.47284164909734333</v>
          </cell>
          <cell r="J132">
            <v>0.5113464447806354</v>
          </cell>
          <cell r="K132">
            <v>0.50246305418719217</v>
          </cell>
          <cell r="L132">
            <v>0.34948096885813151</v>
          </cell>
          <cell r="M132">
            <v>0.534113113791574</v>
          </cell>
          <cell r="N132">
            <v>0.43359380180195184</v>
          </cell>
          <cell r="O132">
            <v>0.45863079115649619</v>
          </cell>
          <cell r="P132">
            <v>0.19770408163265307</v>
          </cell>
          <cell r="Q132">
            <v>0.26067362008583034</v>
          </cell>
        </row>
        <row r="133">
          <cell r="F133">
            <v>62.986664149866868</v>
          </cell>
          <cell r="G133">
            <v>69.350521690496649</v>
          </cell>
          <cell r="H133">
            <v>76.155836387749233</v>
          </cell>
          <cell r="I133">
            <v>78.270978905958799</v>
          </cell>
          <cell r="J133">
            <v>80.512916850330924</v>
          </cell>
          <cell r="K133">
            <v>80.200309938794831</v>
          </cell>
          <cell r="L133">
            <v>80.095620066708179</v>
          </cell>
          <cell r="M133">
            <v>83.967701194784468</v>
          </cell>
          <cell r="N133">
            <v>81.264347635041176</v>
          </cell>
          <cell r="O133">
            <v>80.055391270335079</v>
          </cell>
          <cell r="P133">
            <v>76.837466935523295</v>
          </cell>
          <cell r="Q133">
            <v>75.780678446251514</v>
          </cell>
        </row>
        <row r="142">
          <cell r="F142">
            <v>-100.97359999999999</v>
          </cell>
          <cell r="G142">
            <v>-124.99079999999998</v>
          </cell>
          <cell r="H142">
            <v>-149.54315</v>
          </cell>
          <cell r="I142">
            <v>-90.641499999999994</v>
          </cell>
          <cell r="J142">
            <v>-27.086862499999992</v>
          </cell>
          <cell r="K142">
            <v>10.474300000000007</v>
          </cell>
          <cell r="L142">
            <v>24.592887500000003</v>
          </cell>
          <cell r="M142">
            <v>77.642062499999994</v>
          </cell>
          <cell r="N142">
            <v>183.7360625</v>
          </cell>
          <cell r="O142">
            <v>178.47212499999998</v>
          </cell>
          <cell r="P142">
            <v>-33.671050000000001</v>
          </cell>
          <cell r="Q142">
            <v>-32.859050000000003</v>
          </cell>
        </row>
        <row r="143">
          <cell r="D143">
            <v>783</v>
          </cell>
          <cell r="F143">
            <v>667.31268583008</v>
          </cell>
          <cell r="G143">
            <v>525.02428173767998</v>
          </cell>
          <cell r="H143">
            <v>357.90326355528003</v>
          </cell>
          <cell r="I143">
            <v>248.42248352360002</v>
          </cell>
          <cell r="J143">
            <v>203.53833073740003</v>
          </cell>
          <cell r="K143">
            <v>200.48796284200003</v>
          </cell>
          <cell r="L143">
            <v>214.65285951844001</v>
          </cell>
          <cell r="M143">
            <v>284.60007476855998</v>
          </cell>
          <cell r="N143">
            <v>460.88274165415999</v>
          </cell>
          <cell r="O143">
            <v>633.49146590056</v>
          </cell>
          <cell r="P143">
            <v>594.08694628599994</v>
          </cell>
          <cell r="Q143">
            <v>551.14618105691989</v>
          </cell>
        </row>
        <row r="146">
          <cell r="F146">
            <v>-75.314750000000004</v>
          </cell>
          <cell r="G146">
            <v>-129.00790000000001</v>
          </cell>
          <cell r="H146">
            <v>-137.74199999999999</v>
          </cell>
          <cell r="I146">
            <v>198.25800000000001</v>
          </cell>
          <cell r="J146">
            <v>177.523</v>
          </cell>
          <cell r="K146">
            <v>262.62900000000002</v>
          </cell>
          <cell r="L146">
            <v>-16.265000000000001</v>
          </cell>
          <cell r="M146">
            <v>48.734999999999999</v>
          </cell>
          <cell r="N146">
            <v>34.841000000000001</v>
          </cell>
          <cell r="O146">
            <v>29.681999999999999</v>
          </cell>
          <cell r="P146">
            <v>9.5760000000000005</v>
          </cell>
          <cell r="Q146">
            <v>71.364000000000004</v>
          </cell>
        </row>
        <row r="147">
          <cell r="D147">
            <v>522</v>
          </cell>
          <cell r="F147">
            <v>443.62510423392001</v>
          </cell>
          <cell r="G147">
            <v>310.89862940632003</v>
          </cell>
          <cell r="H147">
            <v>170.24967166872003</v>
          </cell>
          <cell r="I147">
            <v>365.30593035640004</v>
          </cell>
          <cell r="J147">
            <v>539.67453918260003</v>
          </cell>
          <cell r="K147">
            <v>799.45657325800005</v>
          </cell>
          <cell r="L147">
            <v>781.58128573356009</v>
          </cell>
          <cell r="M147">
            <v>829.5327345794401</v>
          </cell>
          <cell r="N147">
            <v>863.86245867384014</v>
          </cell>
          <cell r="O147">
            <v>892.57083654744019</v>
          </cell>
          <cell r="P147">
            <v>901.31973251400018</v>
          </cell>
          <cell r="Q147">
            <v>971.46392597908016</v>
          </cell>
        </row>
        <row r="148">
          <cell r="F148">
            <v>1110.937790064</v>
          </cell>
          <cell r="G148">
            <v>835.92291114399995</v>
          </cell>
          <cell r="H148">
            <v>528.15293522400009</v>
          </cell>
          <cell r="I148">
            <v>613.72841388000006</v>
          </cell>
          <cell r="J148">
            <v>743.21286992</v>
          </cell>
          <cell r="K148">
            <v>999.94453610000005</v>
          </cell>
          <cell r="L148">
            <v>996.23414525200008</v>
          </cell>
          <cell r="M148">
            <v>1114.1328093480001</v>
          </cell>
          <cell r="N148">
            <v>1324.745200328</v>
          </cell>
          <cell r="O148">
            <v>1526.0623024480001</v>
          </cell>
          <cell r="P148">
            <v>1495.4066788</v>
          </cell>
          <cell r="Q148">
            <v>1522.610107036</v>
          </cell>
        </row>
        <row r="149">
          <cell r="F149">
            <v>11072.176000000001</v>
          </cell>
          <cell r="G149">
            <v>10485.560000000001</v>
          </cell>
          <cell r="H149">
            <v>9440.3199999999979</v>
          </cell>
          <cell r="I149">
            <v>7907.0959999999995</v>
          </cell>
          <cell r="J149">
            <v>8370.86</v>
          </cell>
          <cell r="K149">
            <v>9027.9560000000001</v>
          </cell>
          <cell r="L149">
            <v>10093.948</v>
          </cell>
          <cell r="M149">
            <v>10057.132000000001</v>
          </cell>
          <cell r="N149">
            <v>10485.560000000001</v>
          </cell>
          <cell r="O149">
            <v>11133.471999999998</v>
          </cell>
          <cell r="P149">
            <v>11646.072</v>
          </cell>
          <cell r="Q149">
            <v>11565.436</v>
          </cell>
        </row>
        <row r="150">
          <cell r="F150">
            <v>464</v>
          </cell>
          <cell r="G150">
            <v>436</v>
          </cell>
          <cell r="H150">
            <v>401</v>
          </cell>
          <cell r="I150">
            <v>411</v>
          </cell>
          <cell r="J150">
            <v>426</v>
          </cell>
          <cell r="K150">
            <v>453</v>
          </cell>
          <cell r="L150">
            <v>452</v>
          </cell>
          <cell r="M150">
            <v>464</v>
          </cell>
          <cell r="N150">
            <v>484</v>
          </cell>
          <cell r="O150">
            <v>502</v>
          </cell>
          <cell r="P150">
            <v>499</v>
          </cell>
          <cell r="Q150">
            <v>501</v>
          </cell>
        </row>
      </sheetData>
      <sheetData sheetId="17">
        <row r="22">
          <cell r="B22">
            <v>3852</v>
          </cell>
          <cell r="C22">
            <v>4322</v>
          </cell>
          <cell r="D22">
            <v>4552</v>
          </cell>
          <cell r="E22">
            <v>4552</v>
          </cell>
          <cell r="F22">
            <v>4552</v>
          </cell>
          <cell r="G22">
            <v>4552</v>
          </cell>
          <cell r="H22">
            <v>3882</v>
          </cell>
          <cell r="I22">
            <v>3252</v>
          </cell>
          <cell r="J22">
            <v>3252</v>
          </cell>
          <cell r="K22">
            <v>3252</v>
          </cell>
          <cell r="L22">
            <v>3252</v>
          </cell>
          <cell r="M22">
            <v>3412</v>
          </cell>
        </row>
        <row r="23">
          <cell r="B23">
            <v>4552</v>
          </cell>
          <cell r="C23">
            <v>4552</v>
          </cell>
          <cell r="D23">
            <v>4552</v>
          </cell>
          <cell r="E23">
            <v>4552</v>
          </cell>
          <cell r="F23">
            <v>4552</v>
          </cell>
          <cell r="G23">
            <v>4552</v>
          </cell>
          <cell r="H23">
            <v>3882</v>
          </cell>
          <cell r="I23">
            <v>3252</v>
          </cell>
          <cell r="J23">
            <v>3252</v>
          </cell>
          <cell r="K23">
            <v>3872</v>
          </cell>
          <cell r="L23">
            <v>4252</v>
          </cell>
          <cell r="M23">
            <v>4552</v>
          </cell>
        </row>
        <row r="24">
          <cell r="B24">
            <v>3083</v>
          </cell>
          <cell r="C24">
            <v>3388</v>
          </cell>
          <cell r="D24">
            <v>3538</v>
          </cell>
          <cell r="E24">
            <v>3538</v>
          </cell>
          <cell r="F24">
            <v>3538</v>
          </cell>
          <cell r="G24">
            <v>3148</v>
          </cell>
          <cell r="H24">
            <v>2788</v>
          </cell>
          <cell r="I24">
            <v>2788</v>
          </cell>
          <cell r="J24">
            <v>2788</v>
          </cell>
          <cell r="K24">
            <v>2788</v>
          </cell>
          <cell r="L24">
            <v>2788</v>
          </cell>
          <cell r="M24">
            <v>2788</v>
          </cell>
        </row>
        <row r="25">
          <cell r="B25">
            <v>3458</v>
          </cell>
          <cell r="C25">
            <v>3538</v>
          </cell>
          <cell r="D25">
            <v>3538</v>
          </cell>
          <cell r="E25">
            <v>3538</v>
          </cell>
          <cell r="F25">
            <v>3538</v>
          </cell>
          <cell r="G25">
            <v>3343</v>
          </cell>
          <cell r="H25">
            <v>3163</v>
          </cell>
          <cell r="I25">
            <v>3163</v>
          </cell>
          <cell r="J25">
            <v>3163</v>
          </cell>
          <cell r="K25">
            <v>3163</v>
          </cell>
          <cell r="L25">
            <v>3163</v>
          </cell>
          <cell r="M25">
            <v>3163</v>
          </cell>
        </row>
        <row r="26">
          <cell r="B26">
            <v>2230</v>
          </cell>
          <cell r="C26">
            <v>2420</v>
          </cell>
          <cell r="D26">
            <v>2420</v>
          </cell>
          <cell r="E26">
            <v>2420</v>
          </cell>
          <cell r="F26">
            <v>2420</v>
          </cell>
          <cell r="G26">
            <v>2270</v>
          </cell>
          <cell r="H26">
            <v>1970</v>
          </cell>
          <cell r="I26">
            <v>1970</v>
          </cell>
          <cell r="J26">
            <v>1970</v>
          </cell>
          <cell r="K26">
            <v>1970</v>
          </cell>
          <cell r="L26">
            <v>1970</v>
          </cell>
          <cell r="M26">
            <v>2040</v>
          </cell>
        </row>
        <row r="27">
          <cell r="B27">
            <v>1970</v>
          </cell>
          <cell r="C27">
            <v>1970</v>
          </cell>
          <cell r="D27">
            <v>2200</v>
          </cell>
          <cell r="E27">
            <v>2420</v>
          </cell>
          <cell r="F27">
            <v>2420</v>
          </cell>
          <cell r="G27">
            <v>2270</v>
          </cell>
          <cell r="H27">
            <v>1970</v>
          </cell>
          <cell r="I27">
            <v>1970</v>
          </cell>
          <cell r="J27">
            <v>1970</v>
          </cell>
          <cell r="K27">
            <v>1970</v>
          </cell>
          <cell r="L27">
            <v>1970</v>
          </cell>
          <cell r="M27">
            <v>1970</v>
          </cell>
        </row>
        <row r="28">
          <cell r="B28">
            <v>900</v>
          </cell>
          <cell r="C28">
            <v>966</v>
          </cell>
          <cell r="D28">
            <v>966</v>
          </cell>
          <cell r="E28">
            <v>966</v>
          </cell>
          <cell r="F28">
            <v>966</v>
          </cell>
          <cell r="G28">
            <v>966</v>
          </cell>
          <cell r="H28">
            <v>715</v>
          </cell>
          <cell r="I28">
            <v>566</v>
          </cell>
          <cell r="J28">
            <v>566</v>
          </cell>
          <cell r="K28">
            <v>566</v>
          </cell>
          <cell r="L28">
            <v>566</v>
          </cell>
          <cell r="M28">
            <v>755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5ED8-E97A-4592-A3D5-A03E91562094}">
  <sheetPr codeName="Sheet1">
    <pageSetUpPr fitToPage="1"/>
  </sheetPr>
  <dimension ref="A1:AA293"/>
  <sheetViews>
    <sheetView tabSelected="1" zoomScale="80" zoomScaleNormal="80" zoomScaleSheetLayoutView="70" workbookViewId="0">
      <pane ySplit="2" topLeftCell="A141" activePane="bottomLeft" state="frozen"/>
      <selection activeCell="B26" sqref="B26"/>
      <selection pane="bottomLeft" activeCell="B157" sqref="B157"/>
    </sheetView>
  </sheetViews>
  <sheetFormatPr defaultRowHeight="12.75" x14ac:dyDescent="0.2"/>
  <cols>
    <col min="1" max="1" width="24" customWidth="1"/>
    <col min="2" max="2" width="18" bestFit="1" customWidth="1"/>
    <col min="3" max="5" width="18.140625" bestFit="1" customWidth="1"/>
    <col min="6" max="9" width="20.28515625" bestFit="1" customWidth="1"/>
    <col min="10" max="14" width="18.140625" bestFit="1" customWidth="1"/>
  </cols>
  <sheetData>
    <row r="1" spans="1:27" ht="15" customHeight="1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5.75" x14ac:dyDescent="0.25">
      <c r="A3" s="1"/>
      <c r="B3" s="2"/>
      <c r="C3" s="3">
        <f>'[1]Beginning Page'!A32</f>
        <v>45383</v>
      </c>
      <c r="D3" s="3">
        <f>'[1]Beginning Page'!B32</f>
        <v>45413</v>
      </c>
      <c r="E3" s="3">
        <f>'[1]Beginning Page'!C32</f>
        <v>45444</v>
      </c>
      <c r="F3" s="3">
        <f>'[1]Beginning Page'!D32</f>
        <v>45474</v>
      </c>
      <c r="G3" s="3">
        <f>'[1]Beginning Page'!E32</f>
        <v>45505</v>
      </c>
      <c r="H3" s="3">
        <f>'[1]Beginning Page'!F32</f>
        <v>45536</v>
      </c>
      <c r="I3" s="3">
        <f>'[1]Beginning Page'!G32</f>
        <v>45566</v>
      </c>
      <c r="J3" s="3">
        <f>'[1]Beginning Page'!H32</f>
        <v>45597</v>
      </c>
      <c r="K3" s="3">
        <f>'[1]Beginning Page'!I32</f>
        <v>45627</v>
      </c>
      <c r="L3" s="3">
        <f>'[1]Beginning Page'!J32</f>
        <v>45658</v>
      </c>
      <c r="M3" s="3">
        <f>'[1]Beginning Page'!K32</f>
        <v>45689</v>
      </c>
      <c r="N3" s="3">
        <f>'[1]Beginning Page'!L32</f>
        <v>45717</v>
      </c>
      <c r="O3" s="1"/>
      <c r="AA3" t="s">
        <v>2</v>
      </c>
    </row>
    <row r="4" spans="1:27" ht="15.75" x14ac:dyDescent="0.25">
      <c r="A4" s="4" t="s">
        <v>3</v>
      </c>
      <c r="B4" s="22">
        <v>45399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AA4" t="s">
        <v>4</v>
      </c>
    </row>
    <row r="5" spans="1:27" ht="15" x14ac:dyDescent="0.25">
      <c r="A5" s="2" t="s">
        <v>5</v>
      </c>
      <c r="B5" s="1"/>
      <c r="C5" s="1">
        <f>195*14/30</f>
        <v>91</v>
      </c>
      <c r="D5" s="1">
        <f>[1]CALCS!G9</f>
        <v>270</v>
      </c>
      <c r="E5" s="1">
        <f>[1]CALCS!H9</f>
        <v>110</v>
      </c>
      <c r="F5" s="1">
        <f>[1]CALCS!I9</f>
        <v>30</v>
      </c>
      <c r="G5" s="1">
        <f>[1]CALCS!J9</f>
        <v>20</v>
      </c>
      <c r="H5" s="1">
        <f>[1]CALCS!K9</f>
        <v>10</v>
      </c>
      <c r="I5" s="1">
        <f>[1]CALCS!L9</f>
        <v>12</v>
      </c>
      <c r="J5" s="1">
        <f>[1]CALCS!M9</f>
        <v>22</v>
      </c>
      <c r="K5" s="1">
        <f>[1]CALCS!N9</f>
        <v>41</v>
      </c>
      <c r="L5" s="1">
        <f>[1]CALCS!O9</f>
        <v>33</v>
      </c>
      <c r="M5" s="1">
        <f>[1]CALCS!P9</f>
        <v>55</v>
      </c>
      <c r="N5" s="1">
        <f>[1]CALCS!Q9</f>
        <v>88</v>
      </c>
      <c r="O5" s="1"/>
      <c r="AA5" t="s">
        <v>6</v>
      </c>
    </row>
    <row r="6" spans="1:27" ht="15" x14ac:dyDescent="0.25">
      <c r="A6" s="2" t="s">
        <v>7</v>
      </c>
      <c r="B6" s="1"/>
      <c r="C6" s="5">
        <f>5.2*14/30</f>
        <v>2.4266666666666667</v>
      </c>
      <c r="D6" s="5">
        <f>[1]CALCS!G10</f>
        <v>7.0163730000000299</v>
      </c>
      <c r="E6" s="5">
        <f>[1]CALCS!H10</f>
        <v>8.1642207150000221</v>
      </c>
      <c r="F6" s="5">
        <f>[1]CALCS!I10</f>
        <v>10.681491640000033</v>
      </c>
      <c r="G6" s="5">
        <f>[1]CALCS!J10</f>
        <v>9.5902701749999899</v>
      </c>
      <c r="H6" s="5">
        <f>[1]CALCS!K10</f>
        <v>7.6570312000000058</v>
      </c>
      <c r="I6" s="5">
        <f>[1]CALCS!L10</f>
        <v>3.6713511800000149</v>
      </c>
      <c r="J6" s="5">
        <f>[1]CALCS!M10</f>
        <v>1.7735491200000064</v>
      </c>
      <c r="K6" s="5">
        <f>[1]CALCS!N10</f>
        <v>1.1099763200000041</v>
      </c>
      <c r="L6" s="5">
        <f>[1]CALCS!O10</f>
        <v>2.0015531250000098</v>
      </c>
      <c r="M6" s="5">
        <f>[1]CALCS!P10</f>
        <v>1.6344221200000071</v>
      </c>
      <c r="N6" s="5">
        <f>[1]CALCS!Q10</f>
        <v>2.4669721550000063</v>
      </c>
      <c r="O6" s="1"/>
      <c r="AA6" t="s">
        <v>8</v>
      </c>
    </row>
    <row r="7" spans="1:27" ht="15" x14ac:dyDescent="0.25">
      <c r="A7" s="2" t="s">
        <v>9</v>
      </c>
      <c r="B7" s="1"/>
      <c r="C7" s="5">
        <f>160.6*14/30</f>
        <v>74.946666666666673</v>
      </c>
      <c r="D7" s="5">
        <f>[1]CALCS!G11</f>
        <v>218.67830793499999</v>
      </c>
      <c r="E7" s="5">
        <f>[1]CALCS!H11</f>
        <v>119.35126210500005</v>
      </c>
      <c r="F7" s="5">
        <f>[1]CALCS!I11</f>
        <v>124.86613362</v>
      </c>
      <c r="G7" s="5">
        <f>[1]CALCS!J11</f>
        <v>133.195009755</v>
      </c>
      <c r="H7" s="5">
        <f>[1]CALCS!K11</f>
        <v>131.59760697499999</v>
      </c>
      <c r="I7" s="5">
        <f>[1]CALCS!L11</f>
        <v>30.994213704999925</v>
      </c>
      <c r="J7" s="5">
        <f>[1]CALCS!M11</f>
        <v>24.182679123</v>
      </c>
      <c r="K7" s="5">
        <f>[1]CALCS!N11</f>
        <v>19.010421628</v>
      </c>
      <c r="L7" s="5">
        <f>[1]CALCS!O11</f>
        <v>19.227772485000028</v>
      </c>
      <c r="M7" s="5">
        <f>[1]CALCS!P11</f>
        <v>17.160972805999997</v>
      </c>
      <c r="N7" s="5">
        <f>[1]CALCS!Q11</f>
        <v>19.349103391000003</v>
      </c>
      <c r="O7" s="1"/>
      <c r="AA7" t="s">
        <v>10</v>
      </c>
    </row>
    <row r="8" spans="1:27" ht="15" x14ac:dyDescent="0.25">
      <c r="A8" s="2" t="s">
        <v>11</v>
      </c>
      <c r="B8" s="1"/>
      <c r="C8" s="6">
        <f>[1]CALCS!F12</f>
        <v>2700</v>
      </c>
      <c r="D8" s="6">
        <f>[1]CALCS!G12</f>
        <v>3500</v>
      </c>
      <c r="E8" s="6">
        <f>[1]CALCS!H12</f>
        <v>1800</v>
      </c>
      <c r="F8" s="6">
        <f>[1]CALCS!I12</f>
        <v>735</v>
      </c>
      <c r="G8" s="6">
        <f>[1]CALCS!J12</f>
        <v>857</v>
      </c>
      <c r="H8" s="6">
        <f>[1]CALCS!K12</f>
        <v>870</v>
      </c>
      <c r="I8" s="6">
        <f>[1]CALCS!L12</f>
        <v>372.58064516129031</v>
      </c>
      <c r="J8" s="6">
        <f>[1]CALCS!M12</f>
        <v>300</v>
      </c>
      <c r="K8" s="6">
        <f>[1]CALCS!N12</f>
        <v>300</v>
      </c>
      <c r="L8" s="6">
        <f>[1]CALCS!O12</f>
        <v>300</v>
      </c>
      <c r="M8" s="6">
        <f>[1]CALCS!P12</f>
        <v>300</v>
      </c>
      <c r="N8" s="6">
        <f>[1]CALCS!Q12</f>
        <v>300</v>
      </c>
      <c r="O8" s="1"/>
      <c r="AA8" t="s">
        <v>12</v>
      </c>
    </row>
    <row r="9" spans="1:27" ht="15" x14ac:dyDescent="0.25">
      <c r="A9" s="2" t="s">
        <v>13</v>
      </c>
      <c r="B9" s="1"/>
      <c r="C9" s="5">
        <f>160.6*14/30</f>
        <v>74.946666666666673</v>
      </c>
      <c r="D9" s="5">
        <f>[1]CALCS!G14</f>
        <v>215.15549999999999</v>
      </c>
      <c r="E9" s="5">
        <f>[1]CALCS!H14</f>
        <v>107.08200000000001</v>
      </c>
      <c r="F9" s="5">
        <f>[1]CALCS!I14</f>
        <v>45.182654999999997</v>
      </c>
      <c r="G9" s="5">
        <f>[1]CALCS!J14</f>
        <v>52.682361</v>
      </c>
      <c r="H9" s="5">
        <f>[1]CALCS!K14</f>
        <v>51.756300000000003</v>
      </c>
      <c r="I9" s="5">
        <f>[1]CALCS!L14</f>
        <v>22.929428999999999</v>
      </c>
      <c r="J9" s="5">
        <f>[1]CALCS!M14</f>
        <v>17.847000000000001</v>
      </c>
      <c r="K9" s="5">
        <f>[1]CALCS!N14</f>
        <v>18.4419</v>
      </c>
      <c r="L9" s="5">
        <f>[1]CALCS!O14</f>
        <v>18.4419</v>
      </c>
      <c r="M9" s="5">
        <f>[1]CALCS!P14</f>
        <v>16.6572</v>
      </c>
      <c r="N9" s="5">
        <f>[1]CALCS!Q14</f>
        <v>18.4419</v>
      </c>
      <c r="O9" s="1"/>
      <c r="AA9" t="s">
        <v>14</v>
      </c>
    </row>
    <row r="10" spans="1:27" ht="15" x14ac:dyDescent="0.25">
      <c r="A10" s="2" t="s">
        <v>15</v>
      </c>
      <c r="B10" s="1"/>
      <c r="C10" s="5">
        <v>0.01</v>
      </c>
      <c r="D10" s="5">
        <f>[1]CALCS!G15</f>
        <v>3.5228079349999994</v>
      </c>
      <c r="E10" s="5">
        <f>[1]CALCS!H15</f>
        <v>12.269262105000031</v>
      </c>
      <c r="F10" s="5">
        <f>[1]CALCS!I15</f>
        <v>79.683478620000002</v>
      </c>
      <c r="G10" s="5">
        <f>[1]CALCS!J15</f>
        <v>80.512648755000001</v>
      </c>
      <c r="H10" s="5">
        <f>[1]CALCS!K15</f>
        <v>79.841306974999981</v>
      </c>
      <c r="I10" s="5">
        <f>[1]CALCS!L15</f>
        <v>8.0647847049999264</v>
      </c>
      <c r="J10" s="5">
        <f>[1]CALCS!M15</f>
        <v>6.3356791230000002</v>
      </c>
      <c r="K10" s="5">
        <f>[1]CALCS!N15</f>
        <v>0.56852162799999917</v>
      </c>
      <c r="L10" s="5">
        <f>[1]CALCS!O15</f>
        <v>0.78587248500002715</v>
      </c>
      <c r="M10" s="5">
        <f>[1]CALCS!P15</f>
        <v>0.50377280599999885</v>
      </c>
      <c r="N10" s="5">
        <f>[1]CALCS!Q15</f>
        <v>0.90720339100000302</v>
      </c>
      <c r="O10" s="5"/>
      <c r="AA10" t="s">
        <v>16</v>
      </c>
    </row>
    <row r="11" spans="1:27" ht="15" x14ac:dyDescent="0.25">
      <c r="A11" s="2" t="s">
        <v>17</v>
      </c>
      <c r="B11" s="5">
        <f>C11+C9+C6-C5</f>
        <v>1973.5587480188506</v>
      </c>
      <c r="C11" s="5">
        <f>[1]CALCS!F16</f>
        <v>1987.1854146855173</v>
      </c>
      <c r="D11" s="5">
        <f>[1]CALCS!G16</f>
        <v>2031.4907337505176</v>
      </c>
      <c r="E11" s="5">
        <f>[1]CALCS!H16</f>
        <v>2013.9752509305174</v>
      </c>
      <c r="F11" s="5">
        <f>[1]CALCS!I16</f>
        <v>1908.4276256705173</v>
      </c>
      <c r="G11" s="5">
        <f>[1]CALCS!J16</f>
        <v>1785.6423457405174</v>
      </c>
      <c r="H11" s="5">
        <f>[1]CALCS!K16</f>
        <v>1656.3877075655173</v>
      </c>
      <c r="I11" s="5">
        <f>[1]CALCS!L16</f>
        <v>1633.7221426805172</v>
      </c>
      <c r="J11" s="5">
        <f>[1]CALCS!M16</f>
        <v>1629.765914437517</v>
      </c>
      <c r="K11" s="5">
        <f>[1]CALCS!N16</f>
        <v>1650.6455164895171</v>
      </c>
      <c r="L11" s="5">
        <f>[1]CALCS!O16</f>
        <v>1662.416190879517</v>
      </c>
      <c r="M11" s="5">
        <f>[1]CALCS!P16</f>
        <v>1698.620795953517</v>
      </c>
      <c r="N11" s="5">
        <f>[1]CALCS!Q16</f>
        <v>1764.8047204075172</v>
      </c>
      <c r="O11" s="5"/>
      <c r="AA11" t="s">
        <v>18</v>
      </c>
    </row>
    <row r="12" spans="1:27" ht="15" x14ac:dyDescent="0.25">
      <c r="A12" s="2" t="s">
        <v>19</v>
      </c>
      <c r="B12" s="1"/>
      <c r="C12" s="6">
        <f>[1]CALCS!F17</f>
        <v>2340</v>
      </c>
      <c r="D12" s="6">
        <f>[1]CALCS!G17</f>
        <v>2343</v>
      </c>
      <c r="E12" s="6">
        <f>[1]CALCS!H17</f>
        <v>2342</v>
      </c>
      <c r="F12" s="6">
        <f>[1]CALCS!I17</f>
        <v>2335</v>
      </c>
      <c r="G12" s="6">
        <f>[1]CALCS!J17</f>
        <v>2326</v>
      </c>
      <c r="H12" s="6">
        <f>[1]CALCS!K17</f>
        <v>2316</v>
      </c>
      <c r="I12" s="6">
        <f>[1]CALCS!L17</f>
        <v>2314</v>
      </c>
      <c r="J12" s="6">
        <f>[1]CALCS!M17</f>
        <v>2314</v>
      </c>
      <c r="K12" s="6">
        <f>[1]CALCS!N17</f>
        <v>2315</v>
      </c>
      <c r="L12" s="6">
        <f>[1]CALCS!O17</f>
        <v>2316</v>
      </c>
      <c r="M12" s="6">
        <f>[1]CALCS!P17</f>
        <v>2319</v>
      </c>
      <c r="N12" s="6">
        <f>[1]CALCS!Q17</f>
        <v>2324</v>
      </c>
      <c r="O12" s="1"/>
      <c r="AA12" t="s">
        <v>20</v>
      </c>
    </row>
    <row r="13" spans="1:27" ht="15" x14ac:dyDescent="0.25">
      <c r="A13" s="2" t="s">
        <v>21</v>
      </c>
      <c r="B13" s="1"/>
      <c r="C13" s="6">
        <f>[1]CALCS!F18</f>
        <v>13488.453524566772</v>
      </c>
      <c r="D13" s="6">
        <f>[1]CALCS!G18</f>
        <v>13839.000000000058</v>
      </c>
      <c r="E13" s="6">
        <f>[1]CALCS!H18</f>
        <v>14052.015000000038</v>
      </c>
      <c r="F13" s="6">
        <f>[1]CALCS!I18</f>
        <v>13981.010000000044</v>
      </c>
      <c r="G13" s="6">
        <f>[1]CALCS!J18</f>
        <v>13488.424999999988</v>
      </c>
      <c r="H13" s="6">
        <f>[1]CALCS!K18</f>
        <v>12868.96000000001</v>
      </c>
      <c r="I13" s="6">
        <f>[1]CALCS!L18</f>
        <v>12197.180000000051</v>
      </c>
      <c r="J13" s="6">
        <f>[1]CALCS!M18</f>
        <v>12064.960000000045</v>
      </c>
      <c r="K13" s="6">
        <f>[1]CALCS!N18</f>
        <v>12064.960000000045</v>
      </c>
      <c r="L13" s="6">
        <f>[1]CALCS!O18</f>
        <v>12130.625000000058</v>
      </c>
      <c r="M13" s="6">
        <f>[1]CALCS!P18</f>
        <v>12197.180000000051</v>
      </c>
      <c r="N13" s="6">
        <f>[1]CALCS!Q18</f>
        <v>12396.84500000003</v>
      </c>
      <c r="O13" s="1"/>
      <c r="AA13" t="s">
        <v>22</v>
      </c>
    </row>
    <row r="14" spans="1:27" ht="15" x14ac:dyDescent="0.25">
      <c r="A14" s="1"/>
      <c r="B14" s="1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1"/>
      <c r="AA14" t="s">
        <v>23</v>
      </c>
    </row>
    <row r="15" spans="1:27" ht="15" x14ac:dyDescent="0.25">
      <c r="A15" s="1"/>
      <c r="B15" s="1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1"/>
      <c r="AA15" t="s">
        <v>24</v>
      </c>
    </row>
    <row r="16" spans="1:27" ht="15" x14ac:dyDescent="0.25">
      <c r="A16" s="1"/>
      <c r="B16" s="1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1"/>
      <c r="AA16" t="s">
        <v>25</v>
      </c>
    </row>
    <row r="17" spans="1:27" ht="15" x14ac:dyDescent="0.25">
      <c r="A17" s="1"/>
      <c r="B17" s="1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1"/>
      <c r="AA17" t="s">
        <v>26</v>
      </c>
    </row>
    <row r="18" spans="1:27" ht="15" x14ac:dyDescent="0.25">
      <c r="A18" s="1"/>
      <c r="B18" s="1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1"/>
    </row>
    <row r="19" spans="1:27" ht="15" x14ac:dyDescent="0.25">
      <c r="A19" s="1"/>
      <c r="B19" s="1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1"/>
    </row>
    <row r="20" spans="1:27" ht="15" x14ac:dyDescent="0.25">
      <c r="A20" s="1"/>
      <c r="B20" s="1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1"/>
    </row>
    <row r="21" spans="1:27" ht="15" x14ac:dyDescent="0.25">
      <c r="A21" s="1"/>
      <c r="B21" s="1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1"/>
    </row>
    <row r="22" spans="1:27" ht="15" x14ac:dyDescent="0.25">
      <c r="A22" s="1"/>
      <c r="B22" s="1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1"/>
    </row>
    <row r="23" spans="1:27" ht="15" x14ac:dyDescent="0.25">
      <c r="A23" s="1"/>
      <c r="B23" s="1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1"/>
    </row>
    <row r="24" spans="1:27" ht="15" x14ac:dyDescent="0.25">
      <c r="A24" s="1"/>
      <c r="B24" s="1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1"/>
    </row>
    <row r="25" spans="1:27" ht="12.75" customHeight="1" x14ac:dyDescent="0.25">
      <c r="A25" s="1"/>
      <c r="B25" s="1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1"/>
    </row>
    <row r="26" spans="1:27" ht="15" x14ac:dyDescent="0.25">
      <c r="A26" s="1"/>
      <c r="B26" s="1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1"/>
    </row>
    <row r="27" spans="1:27" ht="15" x14ac:dyDescent="0.25">
      <c r="A27" s="1"/>
      <c r="B27" s="1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1"/>
    </row>
    <row r="28" spans="1:27" ht="15" x14ac:dyDescent="0.25">
      <c r="A28" s="1"/>
      <c r="B28" s="1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1"/>
    </row>
    <row r="29" spans="1:27" ht="15" x14ac:dyDescent="0.25">
      <c r="A29" s="1"/>
      <c r="B29" s="1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1"/>
    </row>
    <row r="30" spans="1:27" ht="15" x14ac:dyDescent="0.25">
      <c r="A30" s="1"/>
      <c r="B30" s="1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1"/>
    </row>
    <row r="31" spans="1:27" ht="15" x14ac:dyDescent="0.25">
      <c r="A31" s="1"/>
      <c r="B31" s="1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1"/>
    </row>
    <row r="32" spans="1:27" ht="15" x14ac:dyDescent="0.25">
      <c r="A32" s="1"/>
      <c r="B32" s="1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1"/>
    </row>
    <row r="33" spans="1:15" ht="15.75" x14ac:dyDescent="0.25">
      <c r="A33" s="1"/>
      <c r="B33" s="1"/>
      <c r="C33" s="8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.75" x14ac:dyDescent="0.25">
      <c r="A34" s="1"/>
      <c r="B34" s="1"/>
      <c r="C34" s="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.75" x14ac:dyDescent="0.25">
      <c r="A35" s="1"/>
      <c r="B35" s="1"/>
      <c r="C35" s="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.75" x14ac:dyDescent="0.25">
      <c r="A36" s="1"/>
      <c r="B36" s="8"/>
      <c r="C36" s="3">
        <f>C$3</f>
        <v>45383</v>
      </c>
      <c r="D36" s="3">
        <f t="shared" ref="D36:N36" si="0">D$3</f>
        <v>45413</v>
      </c>
      <c r="E36" s="3">
        <f t="shared" si="0"/>
        <v>45444</v>
      </c>
      <c r="F36" s="3">
        <f t="shared" si="0"/>
        <v>45474</v>
      </c>
      <c r="G36" s="3">
        <f t="shared" si="0"/>
        <v>45505</v>
      </c>
      <c r="H36" s="3">
        <f t="shared" si="0"/>
        <v>45536</v>
      </c>
      <c r="I36" s="3">
        <f t="shared" si="0"/>
        <v>45566</v>
      </c>
      <c r="J36" s="3">
        <f t="shared" si="0"/>
        <v>45597</v>
      </c>
      <c r="K36" s="3">
        <f t="shared" si="0"/>
        <v>45627</v>
      </c>
      <c r="L36" s="3">
        <f t="shared" si="0"/>
        <v>45658</v>
      </c>
      <c r="M36" s="3">
        <f t="shared" si="0"/>
        <v>45689</v>
      </c>
      <c r="N36" s="3">
        <f t="shared" si="0"/>
        <v>45717</v>
      </c>
      <c r="O36" s="1"/>
    </row>
    <row r="37" spans="1:15" ht="15.75" x14ac:dyDescent="0.25">
      <c r="A37" s="4" t="s">
        <v>27</v>
      </c>
      <c r="B37" s="2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9" t="s">
        <v>5</v>
      </c>
      <c r="B38" s="1"/>
      <c r="C38" s="23">
        <f>32*14/30</f>
        <v>14.933333333333334</v>
      </c>
      <c r="D38" s="1">
        <f>[1]CALCS!G20</f>
        <v>16</v>
      </c>
      <c r="E38" s="1">
        <f>[1]CALCS!H20</f>
        <v>4</v>
      </c>
      <c r="F38" s="1">
        <f>[1]CALCS!I20</f>
        <v>2</v>
      </c>
      <c r="G38" s="1">
        <f>[1]CALCS!J20</f>
        <v>1</v>
      </c>
      <c r="H38" s="1">
        <f>[1]CALCS!K20</f>
        <v>1</v>
      </c>
      <c r="I38" s="1">
        <f>[1]CALCS!L20</f>
        <v>3</v>
      </c>
      <c r="J38" s="1">
        <f>[1]CALCS!M20</f>
        <v>6</v>
      </c>
      <c r="K38" s="1">
        <f>[1]CALCS!N20</f>
        <v>12</v>
      </c>
      <c r="L38" s="1">
        <f>[1]CALCS!O20</f>
        <v>12</v>
      </c>
      <c r="M38" s="1">
        <f>[1]CALCS!P20</f>
        <v>11</v>
      </c>
      <c r="N38" s="1">
        <f>[1]CALCS!Q20</f>
        <v>22</v>
      </c>
      <c r="O38" s="1"/>
    </row>
    <row r="39" spans="1:15" ht="15" x14ac:dyDescent="0.25">
      <c r="A39" s="9" t="s">
        <v>7</v>
      </c>
      <c r="B39" s="1"/>
      <c r="C39" s="5">
        <f>1.2*14/30</f>
        <v>0.56000000000000005</v>
      </c>
      <c r="D39" s="5">
        <f>[1]CALCS!G21</f>
        <v>1.6341649350000018</v>
      </c>
      <c r="E39" s="5">
        <f>[1]CALCS!H21</f>
        <v>1.872682105000002</v>
      </c>
      <c r="F39" s="5">
        <f>[1]CALCS!I21</f>
        <v>2.4625286200000027</v>
      </c>
      <c r="G39" s="5">
        <f>[1]CALCS!J21</f>
        <v>2.2916987550000028</v>
      </c>
      <c r="H39" s="5">
        <f>[1]CALCS!K21</f>
        <v>1.917806975000002</v>
      </c>
      <c r="I39" s="5">
        <f>[1]CALCS!L21</f>
        <v>0.97018470500000098</v>
      </c>
      <c r="J39" s="5">
        <f>[1]CALCS!M21</f>
        <v>0.43767912300000023</v>
      </c>
      <c r="K39" s="5">
        <f>[1]CALCS!N21</f>
        <v>0.27392162800000019</v>
      </c>
      <c r="L39" s="5">
        <f>[1]CALCS!O21</f>
        <v>0.49127248500000037</v>
      </c>
      <c r="M39" s="5">
        <f>[1]CALCS!P21</f>
        <v>0.39897280600000029</v>
      </c>
      <c r="N39" s="5">
        <f>[1]CALCS!Q21</f>
        <v>0.59250439100000041</v>
      </c>
      <c r="O39" s="1"/>
    </row>
    <row r="40" spans="1:15" ht="15" x14ac:dyDescent="0.25">
      <c r="A40" s="9" t="s">
        <v>9</v>
      </c>
      <c r="B40" s="1"/>
      <c r="C40" s="5">
        <f>11.9*14/30</f>
        <v>5.5533333333333328</v>
      </c>
      <c r="D40" s="5">
        <f>[1]CALCS!G22</f>
        <v>17.888642999999998</v>
      </c>
      <c r="E40" s="5">
        <f>[1]CALCS!H22</f>
        <v>14.39658</v>
      </c>
      <c r="F40" s="5">
        <f>[1]CALCS!I22</f>
        <v>79.220950000000002</v>
      </c>
      <c r="G40" s="5">
        <f>[1]CALCS!J22</f>
        <v>79.220950000000002</v>
      </c>
      <c r="H40" s="5">
        <f>[1]CALCS!K22</f>
        <v>78.923500000000004</v>
      </c>
      <c r="I40" s="5">
        <f>[1]CALCS!L22</f>
        <v>42.294600000000003</v>
      </c>
      <c r="J40" s="5">
        <f>[1]CALCS!M22</f>
        <v>11.898</v>
      </c>
      <c r="K40" s="5">
        <f>[1]CALCS!N22</f>
        <v>12.294599999999999</v>
      </c>
      <c r="L40" s="5">
        <f>[1]CALCS!O22</f>
        <v>12.294599999999999</v>
      </c>
      <c r="M40" s="5">
        <f>[1]CALCS!P22</f>
        <v>11.104799999999999</v>
      </c>
      <c r="N40" s="5">
        <f>[1]CALCS!Q22</f>
        <v>22.314699000000001</v>
      </c>
      <c r="O40" s="1"/>
    </row>
    <row r="41" spans="1:15" ht="15" x14ac:dyDescent="0.25">
      <c r="A41" s="9" t="s">
        <v>28</v>
      </c>
      <c r="B41" s="1"/>
      <c r="C41" s="1">
        <f>[1]CALCS!F23</f>
        <v>0</v>
      </c>
      <c r="D41" s="1">
        <f>[1]CALCS!G23</f>
        <v>0</v>
      </c>
      <c r="E41" s="1">
        <f>[1]CALCS!H23</f>
        <v>0</v>
      </c>
      <c r="F41" s="1">
        <f>[1]CALCS!I23</f>
        <v>70</v>
      </c>
      <c r="G41" s="1">
        <f>[1]CALCS!J23</f>
        <v>70</v>
      </c>
      <c r="H41" s="1">
        <f>[1]CALCS!K23</f>
        <v>70</v>
      </c>
      <c r="I41" s="1">
        <f>[1]CALCS!L23</f>
        <v>30</v>
      </c>
      <c r="J41" s="1">
        <f>[1]CALCS!M23</f>
        <v>0</v>
      </c>
      <c r="K41" s="1">
        <f>[1]CALCS!N23</f>
        <v>0</v>
      </c>
      <c r="L41" s="1">
        <f>[1]CALCS!O23</f>
        <v>0</v>
      </c>
      <c r="M41" s="1">
        <f>[1]CALCS!P23</f>
        <v>0</v>
      </c>
      <c r="N41" s="1">
        <f>[1]CALCS!Q23</f>
        <v>0</v>
      </c>
      <c r="O41" s="1"/>
    </row>
    <row r="42" spans="1:15" ht="15" x14ac:dyDescent="0.25">
      <c r="A42" s="9" t="s">
        <v>29</v>
      </c>
      <c r="B42" s="5">
        <f>C42+C40+C39-C38-C10</f>
        <v>229.07000000000002</v>
      </c>
      <c r="C42" s="6">
        <f>[1]CALCS!F24</f>
        <v>237.9</v>
      </c>
      <c r="D42" s="6">
        <f>[1]CALCS!G24</f>
        <v>237.89999999999998</v>
      </c>
      <c r="E42" s="6">
        <f>[1]CALCS!H24</f>
        <v>237.9</v>
      </c>
      <c r="F42" s="6">
        <f>[1]CALCS!I24</f>
        <v>237.9</v>
      </c>
      <c r="G42" s="6">
        <f>[1]CALCS!J24</f>
        <v>237.90000000000003</v>
      </c>
      <c r="H42" s="6">
        <f>[1]CALCS!K24</f>
        <v>237.90000000000006</v>
      </c>
      <c r="I42" s="6">
        <f>[1]CALCS!L24</f>
        <v>205.7</v>
      </c>
      <c r="J42" s="6">
        <f>[1]CALCS!M24</f>
        <v>205.7</v>
      </c>
      <c r="K42" s="6">
        <f>[1]CALCS!N24</f>
        <v>205.69999999999996</v>
      </c>
      <c r="L42" s="6">
        <f>[1]CALCS!O24</f>
        <v>205.7</v>
      </c>
      <c r="M42" s="6">
        <f>[1]CALCS!P24</f>
        <v>205.7</v>
      </c>
      <c r="N42" s="6">
        <f>[1]CALCS!Q24</f>
        <v>205.7</v>
      </c>
      <c r="O42" s="1"/>
    </row>
    <row r="43" spans="1:15" ht="15" x14ac:dyDescent="0.25">
      <c r="A43" s="9" t="s">
        <v>19</v>
      </c>
      <c r="B43" s="1"/>
      <c r="C43" s="1">
        <f>[1]CALCS!F25</f>
        <v>1209</v>
      </c>
      <c r="D43" s="1">
        <f>[1]CALCS!G25</f>
        <v>1209</v>
      </c>
      <c r="E43" s="1">
        <f>[1]CALCS!H25</f>
        <v>1209</v>
      </c>
      <c r="F43" s="1">
        <f>[1]CALCS!I25</f>
        <v>1209</v>
      </c>
      <c r="G43" s="1">
        <f>[1]CALCS!J25</f>
        <v>1209</v>
      </c>
      <c r="H43" s="1">
        <f>[1]CALCS!K25</f>
        <v>1209</v>
      </c>
      <c r="I43" s="1">
        <f>[1]CALCS!L25</f>
        <v>1199</v>
      </c>
      <c r="J43" s="1">
        <f>[1]CALCS!M25</f>
        <v>1199</v>
      </c>
      <c r="K43" s="1">
        <f>[1]CALCS!N25</f>
        <v>1199</v>
      </c>
      <c r="L43" s="1">
        <f>[1]CALCS!O25</f>
        <v>1199</v>
      </c>
      <c r="M43" s="1">
        <f>[1]CALCS!P25</f>
        <v>1199</v>
      </c>
      <c r="N43" s="1">
        <f>[1]CALCS!Q25</f>
        <v>1199</v>
      </c>
      <c r="O43" s="5"/>
    </row>
    <row r="44" spans="1:15" ht="15" x14ac:dyDescent="0.25">
      <c r="A44" s="9" t="s">
        <v>21</v>
      </c>
      <c r="C44" s="6">
        <f>[1]CALCS!F26</f>
        <v>3075.2390000000032</v>
      </c>
      <c r="D44" s="6">
        <f>[1]CALCS!G26</f>
        <v>3223.2050000000036</v>
      </c>
      <c r="E44" s="6">
        <f>[1]CALCS!H26</f>
        <v>3223.2050000000036</v>
      </c>
      <c r="F44" s="6">
        <f>[1]CALCS!I26</f>
        <v>3223.2050000000036</v>
      </c>
      <c r="G44" s="6">
        <f>[1]CALCS!J26</f>
        <v>3223.2050000000036</v>
      </c>
      <c r="H44" s="6">
        <f>[1]CALCS!K26</f>
        <v>3223.2050000000036</v>
      </c>
      <c r="I44" s="6">
        <f>[1]CALCS!L26</f>
        <v>3223.2050000000036</v>
      </c>
      <c r="J44" s="6">
        <f>[1]CALCS!M26</f>
        <v>2977.4090000000019</v>
      </c>
      <c r="K44" s="6">
        <f>[1]CALCS!N26</f>
        <v>2977.4090000000019</v>
      </c>
      <c r="L44" s="6">
        <f>[1]CALCS!O26</f>
        <v>2977.4090000000019</v>
      </c>
      <c r="M44" s="6">
        <f>[1]CALCS!P26</f>
        <v>2977.4090000000019</v>
      </c>
      <c r="N44" s="6">
        <f>[1]CALCS!Q26</f>
        <v>2977.4090000000019</v>
      </c>
      <c r="O44" s="5"/>
    </row>
    <row r="45" spans="1:15" ht="15" x14ac:dyDescent="0.25">
      <c r="A45" s="9" t="s">
        <v>30</v>
      </c>
      <c r="B45" s="1"/>
      <c r="C45" s="1">
        <f>[1]CALCS!F27</f>
        <v>200</v>
      </c>
      <c r="D45" s="1">
        <f>[1]CALCS!G27</f>
        <v>291</v>
      </c>
      <c r="E45" s="1">
        <f>[1]CALCS!H27</f>
        <v>242</v>
      </c>
      <c r="F45" s="1">
        <f>[1]CALCS!I27</f>
        <v>150</v>
      </c>
      <c r="G45" s="1">
        <f>[1]CALCS!J27</f>
        <v>150</v>
      </c>
      <c r="H45" s="1">
        <f>[1]CALCS!K27</f>
        <v>150</v>
      </c>
      <c r="I45" s="1">
        <f>[1]CALCS!L27</f>
        <v>200</v>
      </c>
      <c r="J45" s="1">
        <f>[1]CALCS!M27</f>
        <v>200</v>
      </c>
      <c r="K45" s="1">
        <f>[1]CALCS!N27</f>
        <v>200</v>
      </c>
      <c r="L45" s="1">
        <f>[1]CALCS!O27</f>
        <v>200</v>
      </c>
      <c r="M45" s="1">
        <f>[1]CALCS!P27</f>
        <v>200</v>
      </c>
      <c r="N45" s="1">
        <f>[1]CALCS!Q27</f>
        <v>363</v>
      </c>
      <c r="O45" s="5"/>
    </row>
    <row r="46" spans="1:15" ht="15" x14ac:dyDescent="0.25">
      <c r="A46" s="9" t="s">
        <v>31</v>
      </c>
      <c r="B46" s="1"/>
      <c r="C46" s="5">
        <f>11.9*14/30</f>
        <v>5.5533333333333328</v>
      </c>
      <c r="D46" s="5">
        <f>[1]CALCS!G28</f>
        <v>17.888642999999998</v>
      </c>
      <c r="E46" s="5">
        <f>[1]CALCS!H28</f>
        <v>14.39658</v>
      </c>
      <c r="F46" s="5">
        <f>[1]CALCS!I28</f>
        <v>9.2209500000000002</v>
      </c>
      <c r="G46" s="5">
        <f>[1]CALCS!J28</f>
        <v>9.2209500000000002</v>
      </c>
      <c r="H46" s="5">
        <f>[1]CALCS!K28</f>
        <v>8.9235000000000007</v>
      </c>
      <c r="I46" s="5">
        <f>[1]CALCS!L28</f>
        <v>12.294599999999999</v>
      </c>
      <c r="J46" s="5">
        <f>[1]CALCS!M28</f>
        <v>11.898</v>
      </c>
      <c r="K46" s="5">
        <f>[1]CALCS!N28</f>
        <v>12.294599999999999</v>
      </c>
      <c r="L46" s="5">
        <f>[1]CALCS!O28</f>
        <v>12.294599999999999</v>
      </c>
      <c r="M46" s="5">
        <f>[1]CALCS!P28</f>
        <v>11.104799999999999</v>
      </c>
      <c r="N46" s="5">
        <f>[1]CALCS!Q28</f>
        <v>22.314699000000001</v>
      </c>
      <c r="O46" s="1"/>
    </row>
    <row r="47" spans="1:15" ht="15" x14ac:dyDescent="0.25">
      <c r="A47" s="9" t="s">
        <v>32</v>
      </c>
      <c r="B47" s="1"/>
      <c r="C47" s="1">
        <f>[1]CALCS!F29</f>
        <v>200</v>
      </c>
      <c r="D47" s="1">
        <f>[1]CALCS!G29</f>
        <v>200</v>
      </c>
      <c r="E47" s="1">
        <f>[1]CALCS!H29</f>
        <v>200</v>
      </c>
      <c r="F47" s="1">
        <f>[1]CALCS!I29</f>
        <v>200</v>
      </c>
      <c r="G47" s="1">
        <f>[1]CALCS!J29</f>
        <v>200</v>
      </c>
      <c r="H47" s="1">
        <f>[1]CALCS!K29</f>
        <v>150</v>
      </c>
      <c r="I47" s="1">
        <f>[1]CALCS!L29</f>
        <v>150</v>
      </c>
      <c r="J47" s="1">
        <f>[1]CALCS!M29</f>
        <v>150</v>
      </c>
      <c r="K47" s="1">
        <f>[1]CALCS!N29</f>
        <v>150</v>
      </c>
      <c r="L47" s="1">
        <f>[1]CALCS!O29</f>
        <v>200</v>
      </c>
      <c r="M47" s="1">
        <f>[1]CALCS!P29</f>
        <v>200</v>
      </c>
      <c r="N47" s="1">
        <f>[1]CALCS!Q29</f>
        <v>200</v>
      </c>
      <c r="O47" s="1"/>
    </row>
    <row r="48" spans="1:15" ht="15" x14ac:dyDescent="0.25">
      <c r="A48" s="9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0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.75" x14ac:dyDescent="0.25">
      <c r="A70" s="1"/>
      <c r="B70" s="2"/>
      <c r="C70" s="3">
        <f>C$3</f>
        <v>45383</v>
      </c>
      <c r="D70" s="3">
        <f t="shared" ref="D70:N70" si="1">D$3</f>
        <v>45413</v>
      </c>
      <c r="E70" s="3">
        <f t="shared" si="1"/>
        <v>45444</v>
      </c>
      <c r="F70" s="3">
        <f t="shared" si="1"/>
        <v>45474</v>
      </c>
      <c r="G70" s="3">
        <f t="shared" si="1"/>
        <v>45505</v>
      </c>
      <c r="H70" s="3">
        <f t="shared" si="1"/>
        <v>45536</v>
      </c>
      <c r="I70" s="3">
        <f t="shared" si="1"/>
        <v>45566</v>
      </c>
      <c r="J70" s="3">
        <f t="shared" si="1"/>
        <v>45597</v>
      </c>
      <c r="K70" s="3">
        <f t="shared" si="1"/>
        <v>45627</v>
      </c>
      <c r="L70" s="3">
        <f t="shared" si="1"/>
        <v>45658</v>
      </c>
      <c r="M70" s="3">
        <f t="shared" si="1"/>
        <v>45689</v>
      </c>
      <c r="N70" s="3">
        <f t="shared" si="1"/>
        <v>45717</v>
      </c>
      <c r="O70" s="1"/>
    </row>
    <row r="71" spans="1:15" ht="15.75" x14ac:dyDescent="0.25">
      <c r="A71" s="4" t="s">
        <v>1</v>
      </c>
      <c r="B71" s="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1"/>
    </row>
    <row r="72" spans="1:15" ht="15" x14ac:dyDescent="0.25">
      <c r="A72" s="9" t="s">
        <v>5</v>
      </c>
      <c r="B72" s="1"/>
      <c r="C72" s="23">
        <f>670*14/30</f>
        <v>312.66666666666669</v>
      </c>
      <c r="D72" s="1">
        <f>[1]CALCS!G31</f>
        <v>400</v>
      </c>
      <c r="E72" s="6">
        <f>[1]CALCS!H31</f>
        <v>270</v>
      </c>
      <c r="F72" s="6">
        <v>210</v>
      </c>
      <c r="G72" s="6">
        <f>[1]CALCS!J31</f>
        <v>168</v>
      </c>
      <c r="H72" s="6">
        <f>[1]CALCS!K31</f>
        <v>165</v>
      </c>
      <c r="I72" s="1">
        <f>[1]CALCS!L31</f>
        <v>220</v>
      </c>
      <c r="J72" s="1">
        <f>[1]CALCS!M31</f>
        <v>250</v>
      </c>
      <c r="K72" s="1">
        <f>[1]CALCS!N31</f>
        <v>320</v>
      </c>
      <c r="L72" s="1">
        <f>[1]CALCS!O31</f>
        <v>320</v>
      </c>
      <c r="M72" s="1">
        <f>[1]CALCS!P31</f>
        <v>380</v>
      </c>
      <c r="N72" s="1">
        <f>[1]CALCS!Q31</f>
        <v>520</v>
      </c>
      <c r="O72" s="1"/>
    </row>
    <row r="73" spans="1:15" ht="15" x14ac:dyDescent="0.25">
      <c r="A73" s="9" t="s">
        <v>7</v>
      </c>
      <c r="B73" s="1"/>
      <c r="C73" s="5">
        <f>10.9*14/30</f>
        <v>5.0866666666666669</v>
      </c>
      <c r="D73" s="5">
        <f>[1]CALCS!G32</f>
        <v>14.866025849999991</v>
      </c>
      <c r="E73" s="5">
        <f>[1]CALCS!H32</f>
        <v>16.437715910000005</v>
      </c>
      <c r="F73" s="5">
        <f>[1]CALCS!I32</f>
        <v>20.179256959999989</v>
      </c>
      <c r="G73" s="5">
        <f>[1]CALCS!J32</f>
        <v>16.819485677999992</v>
      </c>
      <c r="H73" s="5">
        <f>[1]CALCS!K32</f>
        <v>12.853750489999998</v>
      </c>
      <c r="I73" s="5">
        <f>[1]CALCS!L32</f>
        <v>6.1060589100000007</v>
      </c>
      <c r="J73" s="5">
        <f>[1]CALCS!M32</f>
        <v>2.9031224040000008</v>
      </c>
      <c r="K73" s="5">
        <f>[1]CALCS!N32</f>
        <v>1.8169201440000005</v>
      </c>
      <c r="L73" s="5">
        <f>[1]CALCS!O32</f>
        <v>3.3293205000000019</v>
      </c>
      <c r="M73" s="5">
        <f>[1]CALCS!P32</f>
        <v>2.7473122199999986</v>
      </c>
      <c r="N73" s="5">
        <f>[1]CALCS!Q32</f>
        <v>4.2547843739999989</v>
      </c>
      <c r="O73" s="1"/>
    </row>
    <row r="74" spans="1:15" ht="15" x14ac:dyDescent="0.25">
      <c r="A74" s="9" t="s">
        <v>33</v>
      </c>
      <c r="B74" s="1"/>
      <c r="C74" s="6">
        <f>428*14/30</f>
        <v>199.73333333333332</v>
      </c>
      <c r="D74" s="6">
        <f>[1]CALCS!G33</f>
        <v>614.73</v>
      </c>
      <c r="E74" s="6">
        <f>[1]CALCS!H33</f>
        <v>669.26250000000005</v>
      </c>
      <c r="F74" s="6">
        <f>[1]CALCS!I33</f>
        <v>744.51724999999999</v>
      </c>
      <c r="G74" s="6">
        <f>[1]CALCS!J33</f>
        <v>575.4665</v>
      </c>
      <c r="H74" s="6">
        <f>[1]CALCS!K33</f>
        <v>405.92</v>
      </c>
      <c r="I74" s="6">
        <f>[1]CALCS!L33</f>
        <v>308.10149999999999</v>
      </c>
      <c r="J74" s="6">
        <f>[1]CALCS!M33</f>
        <v>237.96</v>
      </c>
      <c r="K74" s="6">
        <f>[1]CALCS!N33</f>
        <v>245.892</v>
      </c>
      <c r="L74" s="6">
        <f>[1]CALCS!O33</f>
        <v>245.892</v>
      </c>
      <c r="M74" s="6">
        <f>[1]CALCS!P33</f>
        <v>222.09599999999998</v>
      </c>
      <c r="N74" s="6">
        <f>[1]CALCS!Q33</f>
        <v>245.892</v>
      </c>
      <c r="O74" s="1"/>
    </row>
    <row r="75" spans="1:15" ht="15" x14ac:dyDescent="0.25">
      <c r="A75" s="9" t="s">
        <v>34</v>
      </c>
      <c r="B75" s="1"/>
      <c r="C75" s="1">
        <f>[1]CALCS!F34</f>
        <v>7200</v>
      </c>
      <c r="D75" s="1">
        <f>[1]CALCS!G34</f>
        <v>10000</v>
      </c>
      <c r="E75" s="1">
        <f>[1]CALCS!H34</f>
        <v>11250</v>
      </c>
      <c r="F75" s="1">
        <f>[1]CALCS!I34</f>
        <v>13250</v>
      </c>
      <c r="G75" s="1">
        <f>[1]CALCS!J34</f>
        <v>10500</v>
      </c>
      <c r="H75" s="1">
        <f>[1]CALCS!K34</f>
        <v>8000</v>
      </c>
      <c r="I75" s="1">
        <f>[1]CALCS!L34</f>
        <v>5500</v>
      </c>
      <c r="J75" s="1">
        <f>[1]CALCS!M34</f>
        <v>4000</v>
      </c>
      <c r="K75" s="1">
        <f>[1]CALCS!N34</f>
        <v>4000</v>
      </c>
      <c r="L75" s="1">
        <f>[1]CALCS!O34</f>
        <v>4000</v>
      </c>
      <c r="M75" s="1">
        <f>[1]CALCS!P34</f>
        <v>4000</v>
      </c>
      <c r="N75" s="1">
        <f>[1]CALCS!Q34</f>
        <v>4000</v>
      </c>
      <c r="O75" s="1"/>
    </row>
    <row r="76" spans="1:15" ht="15" x14ac:dyDescent="0.25">
      <c r="A76" s="9" t="s">
        <v>35</v>
      </c>
      <c r="B76" s="1"/>
      <c r="C76" s="6">
        <f>428*14/30</f>
        <v>199.73333333333332</v>
      </c>
      <c r="D76" s="6">
        <f>[1]CALCS!G35</f>
        <v>614.73</v>
      </c>
      <c r="E76" s="6">
        <f>[1]CALCS!H35</f>
        <v>669.26250000000005</v>
      </c>
      <c r="F76" s="6">
        <f>[1]CALCS!I35</f>
        <v>814.51724999999999</v>
      </c>
      <c r="G76" s="6">
        <f>[1]CALCS!J35</f>
        <v>645.4665</v>
      </c>
      <c r="H76" s="6">
        <f>[1]CALCS!K35</f>
        <v>475.92</v>
      </c>
      <c r="I76" s="6">
        <f>[1]CALCS!L35</f>
        <v>338.10149999999999</v>
      </c>
      <c r="J76" s="6">
        <f>[1]CALCS!M35</f>
        <v>237.96</v>
      </c>
      <c r="K76" s="6">
        <f>[1]CALCS!N35</f>
        <v>245.892</v>
      </c>
      <c r="L76" s="6">
        <f>[1]CALCS!O35</f>
        <v>245.892</v>
      </c>
      <c r="M76" s="6">
        <f>[1]CALCS!P35</f>
        <v>222.09599999999998</v>
      </c>
      <c r="N76" s="6">
        <f>[1]CALCS!Q35</f>
        <v>245.892</v>
      </c>
      <c r="O76" s="1"/>
    </row>
    <row r="77" spans="1:15" ht="15" x14ac:dyDescent="0.25">
      <c r="A77" s="9" t="s">
        <v>36</v>
      </c>
      <c r="B77" s="7"/>
      <c r="C77" s="6">
        <f>[1]CALCS!F36</f>
        <v>7200</v>
      </c>
      <c r="D77" s="6">
        <f>[1]CALCS!G36</f>
        <v>10000</v>
      </c>
      <c r="E77" s="6">
        <f>[1]CALCS!H36</f>
        <v>11250</v>
      </c>
      <c r="F77" s="6">
        <f>[1]CALCS!I36</f>
        <v>13250</v>
      </c>
      <c r="G77" s="6">
        <f>[1]CALCS!J36</f>
        <v>10500</v>
      </c>
      <c r="H77" s="6">
        <f>[1]CALCS!K36</f>
        <v>8000</v>
      </c>
      <c r="I77" s="6">
        <f>[1]CALCS!L36</f>
        <v>5500</v>
      </c>
      <c r="J77" s="6">
        <f>[1]CALCS!M36</f>
        <v>4000</v>
      </c>
      <c r="K77" s="6">
        <f>[1]CALCS!N36</f>
        <v>4000</v>
      </c>
      <c r="L77" s="6">
        <f>[1]CALCS!O36</f>
        <v>4000</v>
      </c>
      <c r="M77" s="6">
        <f>[1]CALCS!P36</f>
        <v>4000</v>
      </c>
      <c r="N77" s="6">
        <f>[1]CALCS!Q36</f>
        <v>4000</v>
      </c>
      <c r="O77" s="1"/>
    </row>
    <row r="78" spans="1:15" ht="15" x14ac:dyDescent="0.25">
      <c r="A78" s="9" t="s">
        <v>29</v>
      </c>
      <c r="B78" s="6">
        <f>C78+C74+C73-C72</f>
        <v>4316.9045788733329</v>
      </c>
      <c r="C78" s="6">
        <f>[1]CALCS!F37</f>
        <v>4424.7512455399992</v>
      </c>
      <c r="D78" s="6">
        <f>[1]CALCS!G37</f>
        <v>4195.1552196899993</v>
      </c>
      <c r="E78" s="6">
        <f>[1]CALCS!H37</f>
        <v>3779.4550037799995</v>
      </c>
      <c r="F78" s="6">
        <f>[1]CALCS!I37</f>
        <v>3224.7584968199994</v>
      </c>
      <c r="G78" s="6">
        <f>[1]CALCS!J37</f>
        <v>2800.4725111419993</v>
      </c>
      <c r="H78" s="6">
        <f>[1]CALCS!K37</f>
        <v>2546.6987606519992</v>
      </c>
      <c r="I78" s="6">
        <f>[1]CALCS!L37</f>
        <v>2452.4912017419992</v>
      </c>
      <c r="J78" s="6">
        <f>[1]CALCS!M37</f>
        <v>2461.6280793379992</v>
      </c>
      <c r="K78" s="6">
        <f>[1]CALCS!N37</f>
        <v>2533.9191591939993</v>
      </c>
      <c r="L78" s="6">
        <f>[1]CALCS!O37</f>
        <v>2604.6978386939995</v>
      </c>
      <c r="M78" s="6">
        <f>[1]CALCS!P37</f>
        <v>2759.8545264739996</v>
      </c>
      <c r="N78" s="6">
        <f>[1]CALCS!Q37</f>
        <v>3029.7077420999999</v>
      </c>
      <c r="O78" s="1"/>
    </row>
    <row r="79" spans="1:15" ht="15" x14ac:dyDescent="0.25">
      <c r="A79" s="9" t="s">
        <v>19</v>
      </c>
      <c r="B79" s="1"/>
      <c r="C79" s="6">
        <f>[1]CALCS!F38</f>
        <v>1063</v>
      </c>
      <c r="D79" s="6">
        <f>[1]CALCS!G38</f>
        <v>1055</v>
      </c>
      <c r="E79" s="6">
        <f>[1]CALCS!H38</f>
        <v>1040</v>
      </c>
      <c r="F79" s="6">
        <f>[1]CALCS!I38</f>
        <v>1017</v>
      </c>
      <c r="G79" s="6">
        <f>[1]CALCS!J38</f>
        <v>999</v>
      </c>
      <c r="H79" s="6">
        <f>[1]CALCS!K38</f>
        <v>987</v>
      </c>
      <c r="I79" s="6">
        <f>[1]CALCS!L38</f>
        <v>982</v>
      </c>
      <c r="J79" s="6">
        <f>[1]CALCS!M38</f>
        <v>982</v>
      </c>
      <c r="K79" s="6">
        <f>[1]CALCS!N38</f>
        <v>986</v>
      </c>
      <c r="L79" s="6">
        <f>[1]CALCS!O38</f>
        <v>989</v>
      </c>
      <c r="M79" s="6">
        <f>[1]CALCS!P38</f>
        <v>997</v>
      </c>
      <c r="N79" s="6">
        <f>[1]CALCS!Q38</f>
        <v>1009</v>
      </c>
      <c r="O79" s="1"/>
    </row>
    <row r="80" spans="1:15" ht="15" x14ac:dyDescent="0.25">
      <c r="A80" s="9" t="s">
        <v>21</v>
      </c>
      <c r="B80" s="1"/>
      <c r="C80" s="6">
        <f>[1]CALCS!F39</f>
        <v>28292.110000000015</v>
      </c>
      <c r="D80" s="6">
        <f>[1]CALCS!G39</f>
        <v>29321.549999999981</v>
      </c>
      <c r="E80" s="6">
        <f>[1]CALCS!H39</f>
        <v>28292.110000000015</v>
      </c>
      <c r="F80" s="6">
        <f>[1]CALCS!I39</f>
        <v>26412.639999999985</v>
      </c>
      <c r="G80" s="6">
        <f>[1]CALCS!J39</f>
        <v>23656.097999999991</v>
      </c>
      <c r="H80" s="6">
        <f>[1]CALCS!K39</f>
        <v>21602.941999999999</v>
      </c>
      <c r="I80" s="6">
        <f>[1]CALCS!L39</f>
        <v>20285.910000000003</v>
      </c>
      <c r="J80" s="6">
        <f>[1]CALCS!M39</f>
        <v>19749.132000000005</v>
      </c>
      <c r="K80" s="6">
        <f>[1]CALCS!N39</f>
        <v>19749.132000000005</v>
      </c>
      <c r="L80" s="6">
        <f>[1]CALCS!O39</f>
        <v>20177.700000000012</v>
      </c>
      <c r="M80" s="6">
        <f>[1]CALCS!P39</f>
        <v>20502.329999999987</v>
      </c>
      <c r="N80" s="6">
        <f>[1]CALCS!Q39</f>
        <v>21380.825999999994</v>
      </c>
      <c r="O80" s="1"/>
    </row>
    <row r="81" spans="1:15" ht="15" x14ac:dyDescent="0.25">
      <c r="A81" s="9" t="s">
        <v>37</v>
      </c>
      <c r="B81" s="1"/>
      <c r="C81" s="1">
        <f>[1]CALCS!F40</f>
        <v>4000</v>
      </c>
      <c r="D81" s="1">
        <f>[1]CALCS!G40</f>
        <v>4000</v>
      </c>
      <c r="E81" s="1">
        <f>[1]CALCS!H40</f>
        <v>4000</v>
      </c>
      <c r="F81" s="1">
        <f>[1]CALCS!I40</f>
        <v>4000</v>
      </c>
      <c r="G81" s="1">
        <f>[1]CALCS!J40</f>
        <v>4000</v>
      </c>
      <c r="H81" s="1">
        <f>[1]CALCS!K40</f>
        <v>4000</v>
      </c>
      <c r="I81" s="1">
        <f>[1]CALCS!L40</f>
        <v>4000</v>
      </c>
      <c r="J81" s="1">
        <f>[1]CALCS!M40</f>
        <v>4000</v>
      </c>
      <c r="K81" s="1">
        <f>[1]CALCS!N40</f>
        <v>4000</v>
      </c>
      <c r="L81" s="1">
        <f>[1]CALCS!O40</f>
        <v>4500</v>
      </c>
      <c r="M81" s="1">
        <f>[1]CALCS!P40</f>
        <v>4500</v>
      </c>
      <c r="N81" s="1">
        <f>[1]CALCS!Q40</f>
        <v>4500</v>
      </c>
      <c r="O81" s="1"/>
    </row>
    <row r="82" spans="1:15" ht="15" x14ac:dyDescent="0.25">
      <c r="A82" s="9" t="s">
        <v>38</v>
      </c>
      <c r="B82" s="1"/>
      <c r="C82" s="6">
        <f>[1]CALCS!F41</f>
        <v>8172</v>
      </c>
      <c r="D82" s="6">
        <f>[1]CALCS!G41</f>
        <v>-2704</v>
      </c>
      <c r="E82" s="6">
        <f>[1]CALCS!H41</f>
        <v>-4495</v>
      </c>
      <c r="F82" s="6">
        <f>[1]CALCS!I41</f>
        <v>-5412</v>
      </c>
      <c r="G82" s="6">
        <f>[1]CALCS!J41</f>
        <v>-4046</v>
      </c>
      <c r="H82" s="6">
        <f>[1]CALCS!K41</f>
        <v>-1975</v>
      </c>
      <c r="I82" s="6">
        <f>[1]CALCS!L41</f>
        <v>-770.93055560392997</v>
      </c>
      <c r="J82" s="6">
        <f>[1]CALCS!M41</f>
        <v>-73.11532525840876</v>
      </c>
      <c r="K82" s="6">
        <f>[1]CALCS!N41</f>
        <v>740</v>
      </c>
      <c r="L82" s="6">
        <f>[1]CALCS!O41</f>
        <v>2323</v>
      </c>
      <c r="M82" s="6">
        <f>[1]CALCS!P41</f>
        <v>1842</v>
      </c>
      <c r="N82" s="6">
        <f>[1]CALCS!Q41</f>
        <v>2695</v>
      </c>
      <c r="O82" s="1"/>
    </row>
    <row r="83" spans="1:15" ht="15" x14ac:dyDescent="0.25">
      <c r="A83" s="9" t="s">
        <v>39</v>
      </c>
      <c r="B83" s="11"/>
      <c r="C83" s="6">
        <f>[1]CALCS!F42</f>
        <v>15572</v>
      </c>
      <c r="D83" s="6">
        <f>[1]CALCS!G42</f>
        <v>7587</v>
      </c>
      <c r="E83" s="6">
        <f>[1]CALCS!H42</f>
        <v>6997</v>
      </c>
      <c r="F83" s="6">
        <f>[1]CALCS!I42</f>
        <v>7988</v>
      </c>
      <c r="G83" s="6">
        <f>[1]CALCS!J42</f>
        <v>6604</v>
      </c>
      <c r="H83" s="6">
        <f>[1]CALCS!K42</f>
        <v>6175</v>
      </c>
      <c r="I83" s="6">
        <f>[1]CALCS!L42</f>
        <v>4929.0694443960701</v>
      </c>
      <c r="J83" s="6">
        <f>[1]CALCS!M42</f>
        <v>4126.8846747415919</v>
      </c>
      <c r="K83" s="6">
        <f>[1]CALCS!N42</f>
        <v>4940</v>
      </c>
      <c r="L83" s="6">
        <f>[1]CALCS!O42</f>
        <v>6523</v>
      </c>
      <c r="M83" s="6">
        <f>[1]CALCS!P42</f>
        <v>6042</v>
      </c>
      <c r="N83" s="6">
        <f>[1]CALCS!Q42</f>
        <v>7058</v>
      </c>
      <c r="O83" s="1"/>
    </row>
    <row r="84" spans="1:15" ht="15" x14ac:dyDescent="0.25">
      <c r="A84" s="9" t="s">
        <v>40</v>
      </c>
      <c r="B84" s="1"/>
      <c r="C84" s="1">
        <f>[1]CALCS!F43</f>
        <v>4500</v>
      </c>
      <c r="D84" s="1">
        <f>[1]CALCS!G43</f>
        <v>5500</v>
      </c>
      <c r="E84" s="1">
        <f>[1]CALCS!H43</f>
        <v>5500</v>
      </c>
      <c r="F84" s="1">
        <f>[1]CALCS!I43</f>
        <v>5500</v>
      </c>
      <c r="G84" s="1">
        <f>[1]CALCS!J43</f>
        <v>3250</v>
      </c>
      <c r="H84" s="1">
        <f>[1]CALCS!K43</f>
        <v>3250</v>
      </c>
      <c r="I84" s="1">
        <f>[1]CALCS!L43</f>
        <v>3250</v>
      </c>
      <c r="J84" s="1">
        <f>[1]CALCS!M43</f>
        <v>3250</v>
      </c>
      <c r="K84" s="1">
        <f>[1]CALCS!N43</f>
        <v>6000</v>
      </c>
      <c r="L84" s="1">
        <f>[1]CALCS!O43</f>
        <v>5500</v>
      </c>
      <c r="M84" s="1">
        <f>[1]CALCS!P43</f>
        <v>5500</v>
      </c>
      <c r="N84" s="1">
        <f>[1]CALCS!Q43</f>
        <v>3750</v>
      </c>
      <c r="O84" s="1"/>
    </row>
    <row r="85" spans="1:15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5.75" x14ac:dyDescent="0.25">
      <c r="A111" s="1"/>
      <c r="B111" s="2"/>
      <c r="C111" s="3">
        <f>C$3</f>
        <v>45383</v>
      </c>
      <c r="D111" s="3">
        <f t="shared" ref="D111:N111" si="2">D$3</f>
        <v>45413</v>
      </c>
      <c r="E111" s="3">
        <f t="shared" si="2"/>
        <v>45444</v>
      </c>
      <c r="F111" s="3">
        <f t="shared" si="2"/>
        <v>45474</v>
      </c>
      <c r="G111" s="3">
        <f t="shared" si="2"/>
        <v>45505</v>
      </c>
      <c r="H111" s="3">
        <f t="shared" si="2"/>
        <v>45536</v>
      </c>
      <c r="I111" s="3">
        <f t="shared" si="2"/>
        <v>45566</v>
      </c>
      <c r="J111" s="3">
        <f t="shared" si="2"/>
        <v>45597</v>
      </c>
      <c r="K111" s="3">
        <f t="shared" si="2"/>
        <v>45627</v>
      </c>
      <c r="L111" s="3">
        <f t="shared" si="2"/>
        <v>45658</v>
      </c>
      <c r="M111" s="3">
        <f t="shared" si="2"/>
        <v>45689</v>
      </c>
      <c r="N111" s="3">
        <f t="shared" si="2"/>
        <v>45717</v>
      </c>
      <c r="O111" s="1"/>
    </row>
    <row r="112" spans="1:15" ht="15.75" x14ac:dyDescent="0.25">
      <c r="A112" s="4" t="s">
        <v>41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5" x14ac:dyDescent="0.25">
      <c r="A113" s="9" t="s">
        <v>5</v>
      </c>
      <c r="B113" s="1"/>
      <c r="C113" s="6">
        <f>[1]CALCS!F73</f>
        <v>528</v>
      </c>
      <c r="D113" s="6">
        <f>[1]CALCS!G73</f>
        <v>436</v>
      </c>
      <c r="E113" s="6">
        <f>[1]CALCS!H73</f>
        <v>211</v>
      </c>
      <c r="F113" s="6">
        <f>[1]CALCS!I73</f>
        <v>130</v>
      </c>
      <c r="G113" s="6">
        <f>[1]CALCS!J73</f>
        <v>102</v>
      </c>
      <c r="H113" s="6">
        <f>[1]CALCS!K73</f>
        <v>113</v>
      </c>
      <c r="I113" s="6">
        <f>[1]CALCS!L73</f>
        <v>120</v>
      </c>
      <c r="J113" s="6">
        <f>[1]CALCS!M73</f>
        <v>120</v>
      </c>
      <c r="K113" s="6">
        <f>[1]CALCS!N73</f>
        <v>160</v>
      </c>
      <c r="L113" s="6">
        <f>[1]CALCS!O73</f>
        <v>170</v>
      </c>
      <c r="M113" s="6">
        <f>[1]CALCS!P73</f>
        <v>200</v>
      </c>
      <c r="N113" s="6">
        <f>[1]CALCS!Q73</f>
        <v>280</v>
      </c>
      <c r="O113" s="1"/>
    </row>
    <row r="114" spans="1:15" ht="15" x14ac:dyDescent="0.25">
      <c r="A114" s="9" t="s">
        <v>7</v>
      </c>
      <c r="B114" s="1"/>
      <c r="C114" s="5">
        <f>[1]CALCS!F74</f>
        <v>5.5603322160260147</v>
      </c>
      <c r="D114" s="5">
        <f>[1]CALCS!G74</f>
        <v>7.8098292324586511</v>
      </c>
      <c r="E114" s="5">
        <f>[1]CALCS!H74</f>
        <v>9.0949778226483264</v>
      </c>
      <c r="F114" s="5">
        <f>[1]CALCS!I74</f>
        <v>11.673923119601991</v>
      </c>
      <c r="G114" s="5">
        <f>[1]CALCS!J74</f>
        <v>9.5366454133794143</v>
      </c>
      <c r="H114" s="5">
        <f>[1]CALCS!K74</f>
        <v>6.919260775229346</v>
      </c>
      <c r="I114" s="5">
        <f>[1]CALCS!L74</f>
        <v>3.0154188457783428</v>
      </c>
      <c r="J114" s="5">
        <f>[1]CALCS!M74</f>
        <v>1.3848883172787645</v>
      </c>
      <c r="K114" s="5">
        <f>[1]CALCS!N74</f>
        <v>0.82165288741339626</v>
      </c>
      <c r="L114" s="5">
        <f>[1]CALCS!O74</f>
        <v>1.4475460172925314</v>
      </c>
      <c r="M114" s="5">
        <f>[1]CALCS!P74</f>
        <v>1.1967565675728569</v>
      </c>
      <c r="N114" s="5">
        <f>[1]CALCS!Q74</f>
        <v>1.8453291174173172</v>
      </c>
      <c r="O114" s="1"/>
    </row>
    <row r="115" spans="1:15" ht="15" x14ac:dyDescent="0.25">
      <c r="A115" s="9" t="s">
        <v>42</v>
      </c>
      <c r="B115" s="1"/>
      <c r="C115" s="6">
        <f>[1]CALCS!F75</f>
        <v>215.77600000000001</v>
      </c>
      <c r="D115" s="6">
        <f>[1]CALCS!G75</f>
        <v>352.12440000000004</v>
      </c>
      <c r="E115" s="6">
        <f>[1]CALCS!H75</f>
        <v>320.80150000000003</v>
      </c>
      <c r="F115" s="6">
        <f>[1]CALCS!I75</f>
        <v>683.85764999999992</v>
      </c>
      <c r="G115" s="6">
        <f>[1]CALCS!J75</f>
        <v>610.12114999999994</v>
      </c>
      <c r="H115" s="6">
        <f>[1]CALCS!K75</f>
        <v>539.81799999999998</v>
      </c>
      <c r="I115" s="6">
        <f>[1]CALCS!L75</f>
        <v>273.41899999999998</v>
      </c>
      <c r="J115" s="6">
        <f>[1]CALCS!M75</f>
        <v>235.10750000000002</v>
      </c>
      <c r="K115" s="6">
        <f>[1]CALCS!N75</f>
        <v>203.57774999999998</v>
      </c>
      <c r="L115" s="6">
        <f>[1]CALCS!O75</f>
        <v>130.84125</v>
      </c>
      <c r="M115" s="6">
        <f>[1]CALCS!P75</f>
        <v>111.04799999999999</v>
      </c>
      <c r="N115" s="6">
        <f>[1]CALCS!Q75</f>
        <v>107.57774999999999</v>
      </c>
      <c r="O115" s="1"/>
    </row>
    <row r="116" spans="1:15" ht="15" x14ac:dyDescent="0.25">
      <c r="A116" s="9" t="s">
        <v>43</v>
      </c>
      <c r="B116" s="1">
        <f>[1]CALCS!D76</f>
        <v>3109</v>
      </c>
      <c r="C116" s="6">
        <f>[1]CALCS!F76</f>
        <v>3415.6636677839742</v>
      </c>
      <c r="D116" s="6">
        <f>[1]CALCS!G76</f>
        <v>3491.7294385515156</v>
      </c>
      <c r="E116" s="6">
        <f>[1]CALCS!H76</f>
        <v>3372.8329607288674</v>
      </c>
      <c r="F116" s="6">
        <f>[1]CALCS!I76</f>
        <v>2807.3013876092655</v>
      </c>
      <c r="G116" s="6">
        <f>[1]CALCS!J76</f>
        <v>2289.643592195886</v>
      </c>
      <c r="H116" s="6">
        <f>[1]CALCS!K76</f>
        <v>1855.9063314206567</v>
      </c>
      <c r="I116" s="6">
        <f>[1]CALCS!L76</f>
        <v>1699.4719125748782</v>
      </c>
      <c r="J116" s="6">
        <f>[1]CALCS!M76</f>
        <v>1582.9795242575992</v>
      </c>
      <c r="K116" s="6">
        <f>[1]CALCS!N76</f>
        <v>1538.5801213701859</v>
      </c>
      <c r="L116" s="6">
        <f>[1]CALCS!O76</f>
        <v>1576.2913253528934</v>
      </c>
      <c r="M116" s="6">
        <f>[1]CALCS!P76</f>
        <v>1664.0465687853205</v>
      </c>
      <c r="N116" s="6">
        <f>[1]CALCS!Q76</f>
        <v>1834.6234896679032</v>
      </c>
      <c r="O116" s="1"/>
    </row>
    <row r="117" spans="1:15" ht="15" x14ac:dyDescent="0.25">
      <c r="A117" s="9" t="s">
        <v>19</v>
      </c>
      <c r="B117" s="1"/>
      <c r="C117" s="6">
        <f>[1]CALCS!F77</f>
        <v>892.37845575435824</v>
      </c>
      <c r="D117" s="6">
        <f>[1]CALCS!G77</f>
        <v>897.17102854328073</v>
      </c>
      <c r="E117" s="6">
        <f>[1]CALCS!H77</f>
        <v>889.79583756610282</v>
      </c>
      <c r="F117" s="6">
        <f>[1]CALCS!I77</f>
        <v>850.34386012229129</v>
      </c>
      <c r="G117" s="6">
        <f>[1]CALCS!J77</f>
        <v>808.59233675204666</v>
      </c>
      <c r="H117" s="6">
        <f>[1]CALCS!K77</f>
        <v>768.89322399651815</v>
      </c>
      <c r="I117" s="6">
        <f>[1]CALCS!L77</f>
        <v>752.67740111884189</v>
      </c>
      <c r="J117" s="6">
        <f>[1]CALCS!M77</f>
        <v>739.6527512797602</v>
      </c>
      <c r="K117" s="6">
        <f>[1]CALCS!N77</f>
        <v>734.79037608443912</v>
      </c>
      <c r="L117" s="6">
        <f>[1]CALCS!O77</f>
        <v>739.31020430712283</v>
      </c>
      <c r="M117" s="6">
        <f>[1]CALCS!P77</f>
        <v>748.59566905507518</v>
      </c>
      <c r="N117" s="6">
        <f>[1]CALCS!Q77</f>
        <v>766.62543069066282</v>
      </c>
      <c r="O117" s="1"/>
    </row>
    <row r="118" spans="1:15" ht="15" x14ac:dyDescent="0.25">
      <c r="A118" s="9" t="s">
        <v>21</v>
      </c>
      <c r="B118" s="1"/>
      <c r="C118" s="6">
        <f>[1]CALCS!F78</f>
        <v>14405.005741000039</v>
      </c>
      <c r="D118" s="6">
        <f>[1]CALCS!G78</f>
        <v>15404.002430884913</v>
      </c>
      <c r="E118" s="6">
        <f>[1]CALCS!H78</f>
        <v>15654.006579429135</v>
      </c>
      <c r="F118" s="6">
        <f>[1]CALCS!I78</f>
        <v>15280.004083248677</v>
      </c>
      <c r="G118" s="6">
        <f>[1]CALCS!J78</f>
        <v>13413.003394345167</v>
      </c>
      <c r="H118" s="6">
        <f>[1]CALCS!K78</f>
        <v>11629.009706267809</v>
      </c>
      <c r="I118" s="6">
        <f>[1]CALCS!L78</f>
        <v>10018.002809894828</v>
      </c>
      <c r="J118" s="6">
        <f>[1]CALCS!M78</f>
        <v>9421.0089610800314</v>
      </c>
      <c r="K118" s="6">
        <f>[1]CALCS!N78</f>
        <v>8931.0096457977852</v>
      </c>
      <c r="L118" s="6">
        <f>[1]CALCS!O78</f>
        <v>8773.0061654092806</v>
      </c>
      <c r="M118" s="6">
        <f>[1]CALCS!P78</f>
        <v>8931.0191609914691</v>
      </c>
      <c r="N118" s="6">
        <f>[1]CALCS!Q78</f>
        <v>9273.0106402880247</v>
      </c>
      <c r="O118" s="1"/>
    </row>
    <row r="119" spans="1:15" ht="15" x14ac:dyDescent="0.25">
      <c r="A119" s="9" t="s">
        <v>44</v>
      </c>
      <c r="B119" s="1"/>
      <c r="C119" s="6">
        <f>[1]CALCS!F79</f>
        <v>2400</v>
      </c>
      <c r="D119" s="6">
        <f>[1]CALCS!G79</f>
        <v>2800</v>
      </c>
      <c r="E119" s="6">
        <f>[1]CALCS!H79</f>
        <v>2350</v>
      </c>
      <c r="F119" s="6">
        <f>[1]CALCS!I79</f>
        <v>8050</v>
      </c>
      <c r="G119" s="6">
        <f>[1]CALCS!J79</f>
        <v>7550</v>
      </c>
      <c r="H119" s="6">
        <f>[1]CALCS!K79</f>
        <v>8200</v>
      </c>
      <c r="I119" s="6">
        <f>[1]CALCS!L79</f>
        <v>3000</v>
      </c>
      <c r="J119" s="6">
        <f>[1]CALCS!M79</f>
        <v>1750</v>
      </c>
      <c r="K119" s="6">
        <f>[1]CALCS!N79</f>
        <v>1750</v>
      </c>
      <c r="L119" s="6">
        <f>[1]CALCS!O79</f>
        <v>1250</v>
      </c>
      <c r="M119" s="6">
        <f>[1]CALCS!P79</f>
        <v>2000</v>
      </c>
      <c r="N119" s="6">
        <f>[1]CALCS!Q79</f>
        <v>1750</v>
      </c>
      <c r="O119" s="1"/>
    </row>
    <row r="120" spans="1:15" ht="15" x14ac:dyDescent="0.25">
      <c r="A120" s="9" t="s">
        <v>45</v>
      </c>
      <c r="B120" s="1" t="s">
        <v>46</v>
      </c>
      <c r="C120" s="6">
        <f>[1]CALCS!F80</f>
        <v>0</v>
      </c>
      <c r="D120" s="6">
        <f>[1]CALCS!G80</f>
        <v>0</v>
      </c>
      <c r="E120" s="6">
        <f>[1]CALCS!H80</f>
        <v>0</v>
      </c>
      <c r="F120" s="6">
        <f>[1]CALCS!I80</f>
        <v>0</v>
      </c>
      <c r="G120" s="6">
        <f>[1]CALCS!J80</f>
        <v>0</v>
      </c>
      <c r="H120" s="6">
        <f>[1]CALCS!K80</f>
        <v>0</v>
      </c>
      <c r="I120" s="6">
        <f>[1]CALCS!L80</f>
        <v>0</v>
      </c>
      <c r="J120" s="6">
        <f>[1]CALCS!M80</f>
        <v>0</v>
      </c>
      <c r="K120" s="6">
        <f>[1]CALCS!N80</f>
        <v>0</v>
      </c>
      <c r="L120" s="6">
        <f>[1]CALCS!O80</f>
        <v>0</v>
      </c>
      <c r="M120" s="6">
        <f>[1]CALCS!P80</f>
        <v>0</v>
      </c>
      <c r="N120" s="6">
        <f>[1]CALCS!Q80</f>
        <v>0</v>
      </c>
      <c r="O120" s="1"/>
    </row>
    <row r="121" spans="1:15" ht="15" x14ac:dyDescent="0.25">
      <c r="A121" s="9" t="s">
        <v>47</v>
      </c>
      <c r="B121" s="1" t="s">
        <v>48</v>
      </c>
      <c r="C121" s="6">
        <f>[1]CALCS!F81</f>
        <v>142.77600000000001</v>
      </c>
      <c r="D121" s="6">
        <f>[1]CALCS!G81</f>
        <v>172.12440000000001</v>
      </c>
      <c r="E121" s="6">
        <f>[1]CALCS!H81</f>
        <v>139.8015</v>
      </c>
      <c r="F121" s="6">
        <f>[1]CALCS!I81</f>
        <v>494.85764999999998</v>
      </c>
      <c r="G121" s="6">
        <f>[1]CALCS!J81</f>
        <v>464.12115</v>
      </c>
      <c r="H121" s="6">
        <f>[1]CALCS!K81</f>
        <v>487.81799999999998</v>
      </c>
      <c r="I121" s="6">
        <f>[1]CALCS!L81</f>
        <v>184.41900000000001</v>
      </c>
      <c r="J121" s="6">
        <f>[1]CALCS!M81</f>
        <v>104.1075</v>
      </c>
      <c r="K121" s="6">
        <f>[1]CALCS!N81</f>
        <v>107.57774999999999</v>
      </c>
      <c r="L121" s="6">
        <f>[1]CALCS!O81</f>
        <v>76.841250000000002</v>
      </c>
      <c r="M121" s="6">
        <f>[1]CALCS!P81</f>
        <v>111.04799999999999</v>
      </c>
      <c r="N121" s="6">
        <f>[1]CALCS!Q81</f>
        <v>107.57774999999999</v>
      </c>
      <c r="O121" s="1"/>
    </row>
    <row r="122" spans="1:15" ht="15" x14ac:dyDescent="0.25">
      <c r="A122" s="9" t="s">
        <v>49</v>
      </c>
      <c r="B122" s="1" t="s">
        <v>50</v>
      </c>
      <c r="C122" s="6">
        <f>[1]CALCS!F82</f>
        <v>73</v>
      </c>
      <c r="D122" s="6">
        <f>[1]CALCS!G82</f>
        <v>180</v>
      </c>
      <c r="E122" s="6">
        <f>[1]CALCS!H82</f>
        <v>181</v>
      </c>
      <c r="F122" s="6">
        <f>[1]CALCS!I82</f>
        <v>189</v>
      </c>
      <c r="G122" s="6">
        <f>[1]CALCS!J82</f>
        <v>146</v>
      </c>
      <c r="H122" s="6">
        <f>[1]CALCS!K82</f>
        <v>52</v>
      </c>
      <c r="I122" s="6">
        <f>[1]CALCS!L82</f>
        <v>89</v>
      </c>
      <c r="J122" s="6">
        <f>[1]CALCS!M82</f>
        <v>131</v>
      </c>
      <c r="K122" s="6">
        <f>[1]CALCS!N82</f>
        <v>96</v>
      </c>
      <c r="L122" s="6">
        <f>[1]CALCS!O82</f>
        <v>54</v>
      </c>
      <c r="M122" s="6">
        <f>[1]CALCS!P82</f>
        <v>0</v>
      </c>
      <c r="N122" s="6">
        <f>[1]CALCS!Q82</f>
        <v>0</v>
      </c>
      <c r="O122" s="1"/>
    </row>
    <row r="123" spans="1:15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5.75" x14ac:dyDescent="0.25">
      <c r="A147" s="1"/>
      <c r="B147" s="2"/>
      <c r="C147" s="3">
        <f>C$3</f>
        <v>45383</v>
      </c>
      <c r="D147" s="3">
        <f t="shared" ref="D147:N147" si="3">D$3</f>
        <v>45413</v>
      </c>
      <c r="E147" s="3">
        <f t="shared" si="3"/>
        <v>45444</v>
      </c>
      <c r="F147" s="3">
        <f t="shared" si="3"/>
        <v>45474</v>
      </c>
      <c r="G147" s="3">
        <f t="shared" si="3"/>
        <v>45505</v>
      </c>
      <c r="H147" s="3">
        <f t="shared" si="3"/>
        <v>45536</v>
      </c>
      <c r="I147" s="3">
        <f t="shared" si="3"/>
        <v>45566</v>
      </c>
      <c r="J147" s="3">
        <f t="shared" si="3"/>
        <v>45597</v>
      </c>
      <c r="K147" s="3">
        <f t="shared" si="3"/>
        <v>45627</v>
      </c>
      <c r="L147" s="3">
        <f t="shared" si="3"/>
        <v>45658</v>
      </c>
      <c r="M147" s="3">
        <f t="shared" si="3"/>
        <v>45689</v>
      </c>
      <c r="N147" s="3">
        <f t="shared" si="3"/>
        <v>45717</v>
      </c>
      <c r="O147" s="1"/>
    </row>
    <row r="148" spans="1:15" ht="15.75" x14ac:dyDescent="0.25">
      <c r="A148" s="4" t="s">
        <v>51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5" x14ac:dyDescent="0.25">
      <c r="A149" s="9" t="s">
        <v>5</v>
      </c>
      <c r="B149" s="1"/>
      <c r="C149" s="23">
        <f>375*14/30</f>
        <v>175</v>
      </c>
      <c r="D149" s="1">
        <f>[1]CALCS!G45</f>
        <v>314</v>
      </c>
      <c r="E149" s="1">
        <f>[1]CALCS!H45</f>
        <v>167</v>
      </c>
      <c r="F149" s="1">
        <f>[1]CALCS!I45</f>
        <v>112</v>
      </c>
      <c r="G149" s="1">
        <f>[1]CALCS!J45</f>
        <v>107</v>
      </c>
      <c r="H149" s="1">
        <f>[1]CALCS!K45</f>
        <v>93</v>
      </c>
      <c r="I149" s="1">
        <f>[1]CALCS!L45</f>
        <v>50</v>
      </c>
      <c r="J149" s="1">
        <f>[1]CALCS!M45</f>
        <v>50</v>
      </c>
      <c r="K149" s="1">
        <f>[1]CALCS!N45</f>
        <v>70</v>
      </c>
      <c r="L149" s="1">
        <f>[1]CALCS!O45</f>
        <v>70</v>
      </c>
      <c r="M149" s="1">
        <f>[1]CALCS!P45</f>
        <v>110</v>
      </c>
      <c r="N149" s="1">
        <f>[1]CALCS!Q45</f>
        <v>180</v>
      </c>
      <c r="O149" s="1"/>
    </row>
    <row r="150" spans="1:15" ht="15" x14ac:dyDescent="0.25">
      <c r="A150" s="9" t="s">
        <v>7</v>
      </c>
      <c r="B150" s="1"/>
      <c r="C150" s="24">
        <f>3.89*14/30</f>
        <v>1.8153333333333335</v>
      </c>
      <c r="D150" s="5">
        <f>[1]CALCS!G46</f>
        <v>5.4122473079999986</v>
      </c>
      <c r="E150" s="5">
        <f>[1]CALCS!H46</f>
        <v>6.5953167839999987</v>
      </c>
      <c r="F150" s="5">
        <f>[1]CALCS!I46</f>
        <v>8.3274624799999994</v>
      </c>
      <c r="G150" s="5">
        <f>[1]CALCS!J46</f>
        <v>6.4324596599999975</v>
      </c>
      <c r="H150" s="5">
        <f>[1]CALCS!K46</f>
        <v>4.6069160199999999</v>
      </c>
      <c r="I150" s="5">
        <f>[1]CALCS!L46</f>
        <v>2.2228157699999995</v>
      </c>
      <c r="J150" s="5">
        <f>[1]CALCS!M46</f>
        <v>0.96041215199999996</v>
      </c>
      <c r="K150" s="5">
        <f>[1]CALCS!N46</f>
        <v>0.58166006399999992</v>
      </c>
      <c r="L150" s="5">
        <f>[1]CALCS!O46</f>
        <v>0.98539418999999973</v>
      </c>
      <c r="M150" s="5">
        <f>[1]CALCS!P46</f>
        <v>0.81897450000000005</v>
      </c>
      <c r="N150" s="5">
        <f>[1]CALCS!Q46</f>
        <v>1.1606519779999993</v>
      </c>
      <c r="O150" s="1"/>
    </row>
    <row r="151" spans="1:15" ht="15" x14ac:dyDescent="0.25">
      <c r="A151" s="9" t="s">
        <v>9</v>
      </c>
      <c r="B151" s="1"/>
      <c r="C151" s="23">
        <f>248.76*14/30</f>
        <v>116.08799999999999</v>
      </c>
      <c r="D151" s="5">
        <f>[1]CALCS!G47</f>
        <v>195.21900000000002</v>
      </c>
      <c r="E151" s="5">
        <f>[1]CALCS!H47</f>
        <v>203.41341999999983</v>
      </c>
      <c r="F151" s="5">
        <f>[1]CALCS!I47</f>
        <v>351.10149999999999</v>
      </c>
      <c r="G151" s="5">
        <f>[1]CALCS!J47</f>
        <v>286.44016999999997</v>
      </c>
      <c r="H151" s="5">
        <f>[1]CALCS!K47</f>
        <v>128.85185999999996</v>
      </c>
      <c r="I151" s="5">
        <f>[1]CALCS!L47</f>
        <v>99.314175000000034</v>
      </c>
      <c r="J151" s="5">
        <f>[1]CALCS!M47</f>
        <v>95.234999999999999</v>
      </c>
      <c r="K151" s="5">
        <f>[1]CALCS!N47</f>
        <v>98.409500000000008</v>
      </c>
      <c r="L151" s="5">
        <f>[1]CALCS!O47</f>
        <v>83.041250000000005</v>
      </c>
      <c r="M151" s="5">
        <f>[1]CALCS!P47</f>
        <v>82.276472000000069</v>
      </c>
      <c r="N151" s="5">
        <f>[1]CALCS!Q47</f>
        <v>83.041250000000005</v>
      </c>
      <c r="O151" s="1"/>
    </row>
    <row r="152" spans="1:15" ht="15" x14ac:dyDescent="0.25">
      <c r="A152" s="9" t="s">
        <v>52</v>
      </c>
      <c r="B152" s="1"/>
      <c r="C152" s="24">
        <f>9*14/30</f>
        <v>4.2</v>
      </c>
      <c r="D152" s="1">
        <f>[1]CALCS!G48</f>
        <v>9</v>
      </c>
      <c r="E152" s="1">
        <f>[1]CALCS!H48</f>
        <v>9</v>
      </c>
      <c r="F152" s="1">
        <f>[1]CALCS!I48</f>
        <v>9</v>
      </c>
      <c r="G152" s="1">
        <f>[1]CALCS!J48</f>
        <v>11</v>
      </c>
      <c r="H152" s="1">
        <f>[1]CALCS!K48</f>
        <v>8</v>
      </c>
      <c r="I152" s="1">
        <f>[1]CALCS!L48</f>
        <v>6</v>
      </c>
      <c r="J152" s="1">
        <f>[1]CALCS!M48</f>
        <v>5</v>
      </c>
      <c r="K152" s="1">
        <f>[1]CALCS!N48</f>
        <v>5</v>
      </c>
      <c r="L152" s="1">
        <f>[1]CALCS!O48</f>
        <v>5</v>
      </c>
      <c r="M152" s="1">
        <f>[1]CALCS!P48</f>
        <v>5</v>
      </c>
      <c r="N152" s="1">
        <f>[1]CALCS!Q48</f>
        <v>5</v>
      </c>
      <c r="O152" s="1"/>
    </row>
    <row r="153" spans="1:15" ht="15" x14ac:dyDescent="0.25">
      <c r="A153" s="9" t="s">
        <v>53</v>
      </c>
      <c r="B153" s="1"/>
      <c r="C153" s="23">
        <f>1.8*14/30</f>
        <v>0.84</v>
      </c>
      <c r="D153" s="1">
        <f>[1]CALCS!G49</f>
        <v>1.8</v>
      </c>
      <c r="E153" s="1">
        <f>[1]CALCS!H49</f>
        <v>3</v>
      </c>
      <c r="F153" s="1">
        <f>[1]CALCS!I49</f>
        <v>4</v>
      </c>
      <c r="G153" s="1">
        <f>[1]CALCS!J49</f>
        <v>3</v>
      </c>
      <c r="H153" s="1">
        <f>[1]CALCS!K49</f>
        <v>1.8</v>
      </c>
      <c r="I153" s="1">
        <f>[1]CALCS!L49</f>
        <v>1</v>
      </c>
      <c r="J153" s="1">
        <f>[1]CALCS!M49</f>
        <v>1</v>
      </c>
      <c r="K153" s="1">
        <f>[1]CALCS!N49</f>
        <v>1.2</v>
      </c>
      <c r="L153" s="1">
        <f>[1]CALCS!O49</f>
        <v>1.2</v>
      </c>
      <c r="M153" s="1">
        <f>[1]CALCS!P49</f>
        <v>1.2</v>
      </c>
      <c r="N153" s="1">
        <f>[1]CALCS!Q49</f>
        <v>1.2</v>
      </c>
      <c r="O153" s="1"/>
    </row>
    <row r="154" spans="1:15" ht="15" x14ac:dyDescent="0.25">
      <c r="A154" s="9" t="s">
        <v>54</v>
      </c>
      <c r="B154" s="1"/>
      <c r="C154" s="1">
        <f>[1]CALCS!F50</f>
        <v>4000</v>
      </c>
      <c r="D154" s="1">
        <f>[1]CALCS!G50</f>
        <v>3000</v>
      </c>
      <c r="E154" s="1">
        <f>[1]CALCS!H50</f>
        <v>3200</v>
      </c>
      <c r="F154" s="1">
        <f>[1]CALCS!I50</f>
        <v>5500</v>
      </c>
      <c r="G154" s="1">
        <f>[1]CALCS!J50</f>
        <v>4400</v>
      </c>
      <c r="H154" s="1">
        <f>[1]CALCS!K50</f>
        <v>2000</v>
      </c>
      <c r="I154" s="1">
        <f>[1]CALCS!L50</f>
        <v>1500</v>
      </c>
      <c r="J154" s="1">
        <f>[1]CALCS!M50</f>
        <v>1500</v>
      </c>
      <c r="K154" s="1">
        <f>[1]CALCS!N50</f>
        <v>1500</v>
      </c>
      <c r="L154" s="1">
        <f>[1]CALCS!O50</f>
        <v>1250</v>
      </c>
      <c r="M154" s="1">
        <f>[1]CALCS!P50</f>
        <v>1000</v>
      </c>
      <c r="N154" s="1">
        <f>[1]CALCS!Q50</f>
        <v>1250</v>
      </c>
      <c r="O154" s="1"/>
    </row>
    <row r="155" spans="1:15" ht="15" x14ac:dyDescent="0.25">
      <c r="A155" s="9" t="s">
        <v>55</v>
      </c>
      <c r="B155" s="1"/>
      <c r="C155" s="23">
        <f>237.96*14/31</f>
        <v>107.46580645161291</v>
      </c>
      <c r="D155" s="5">
        <f>[1]CALCS!G51</f>
        <v>184.41900000000001</v>
      </c>
      <c r="E155" s="5">
        <f>[1]CALCS!H51</f>
        <v>190.36799999999999</v>
      </c>
      <c r="F155" s="5">
        <f>[1]CALCS!I51</f>
        <v>338.10149999999999</v>
      </c>
      <c r="G155" s="5">
        <f>[1]CALCS!J51</f>
        <v>270.4812</v>
      </c>
      <c r="H155" s="5">
        <f>[1]CALCS!K51</f>
        <v>118.98</v>
      </c>
      <c r="I155" s="5">
        <f>[1]CALCS!L51</f>
        <v>92.209500000000006</v>
      </c>
      <c r="J155" s="5">
        <f>[1]CALCS!M51</f>
        <v>89.234999999999999</v>
      </c>
      <c r="K155" s="5">
        <f>[1]CALCS!N51</f>
        <v>92.209500000000006</v>
      </c>
      <c r="L155" s="5">
        <f>[1]CALCS!O51</f>
        <v>76.841250000000002</v>
      </c>
      <c r="M155" s="5">
        <f>[1]CALCS!P51</f>
        <v>55.523999999999994</v>
      </c>
      <c r="N155" s="5">
        <f>[1]CALCS!Q51</f>
        <v>76.841250000000002</v>
      </c>
      <c r="O155" s="1"/>
    </row>
    <row r="156" spans="1:15" ht="15" x14ac:dyDescent="0.25">
      <c r="A156" s="9" t="s">
        <v>56</v>
      </c>
      <c r="B156" s="1"/>
      <c r="C156" s="23">
        <f>237.96*14/31</f>
        <v>107.46580645161291</v>
      </c>
      <c r="D156" s="5">
        <f>[1]CALCS!G52</f>
        <v>184.41900000000001</v>
      </c>
      <c r="E156" s="5">
        <f>[1]CALCS!H52</f>
        <v>191.41341999999983</v>
      </c>
      <c r="F156" s="5">
        <f>[1]CALCS!I52</f>
        <v>338.10149999999999</v>
      </c>
      <c r="G156" s="5">
        <f>[1]CALCS!J52</f>
        <v>272.44016999999997</v>
      </c>
      <c r="H156" s="5">
        <f>[1]CALCS!K52</f>
        <v>119.05185999999996</v>
      </c>
      <c r="I156" s="5">
        <f>[1]CALCS!L52</f>
        <v>92.314175000000034</v>
      </c>
      <c r="J156" s="5">
        <f>[1]CALCS!M52</f>
        <v>89.234999999999999</v>
      </c>
      <c r="K156" s="5">
        <f>[1]CALCS!N52</f>
        <v>92.209500000000006</v>
      </c>
      <c r="L156" s="5">
        <f>[1]CALCS!O52</f>
        <v>76.841250000000002</v>
      </c>
      <c r="M156" s="5">
        <f>[1]CALCS!P52</f>
        <v>76.076472000000066</v>
      </c>
      <c r="N156" s="5">
        <f>[1]CALCS!Q52</f>
        <v>76.841250000000002</v>
      </c>
      <c r="O156" s="1"/>
    </row>
    <row r="157" spans="1:15" ht="15" x14ac:dyDescent="0.25">
      <c r="A157" s="9" t="s">
        <v>29</v>
      </c>
      <c r="B157" s="23">
        <f>C157-C149+C150+C151</f>
        <v>773.25300531333335</v>
      </c>
      <c r="C157" s="6">
        <f>[1]CALCS!F53</f>
        <v>830.34967198000004</v>
      </c>
      <c r="D157" s="6">
        <f>[1]CALCS!G53</f>
        <v>943.71842467199997</v>
      </c>
      <c r="E157" s="6">
        <f>[1]CALCS!H53</f>
        <v>900.70968788799996</v>
      </c>
      <c r="F157" s="6">
        <f>[1]CALCS!I53</f>
        <v>653.28072540799997</v>
      </c>
      <c r="G157" s="6">
        <f>[1]CALCS!J53</f>
        <v>467.40809574799999</v>
      </c>
      <c r="H157" s="6">
        <f>[1]CALCS!K53</f>
        <v>426.94931972800009</v>
      </c>
      <c r="I157" s="6">
        <f>[1]CALCS!L53</f>
        <v>375.41232895800005</v>
      </c>
      <c r="J157" s="6">
        <f>[1]CALCS!M53</f>
        <v>329.21691680600003</v>
      </c>
      <c r="K157" s="6">
        <f>[1]CALCS!N53</f>
        <v>300.22575674199999</v>
      </c>
      <c r="L157" s="6">
        <f>[1]CALCS!O53</f>
        <v>286.19911255199997</v>
      </c>
      <c r="M157" s="6">
        <f>[1]CALCS!P53</f>
        <v>313.10366605199988</v>
      </c>
      <c r="N157" s="6">
        <f>[1]CALCS!Q53</f>
        <v>408.90176407399991</v>
      </c>
      <c r="O157" s="1"/>
    </row>
    <row r="158" spans="1:15" ht="15" x14ac:dyDescent="0.25">
      <c r="A158" s="9" t="s">
        <v>19</v>
      </c>
      <c r="B158" s="1"/>
      <c r="C158" s="6">
        <f>[1]CALCS!F54</f>
        <v>452</v>
      </c>
      <c r="D158" s="6">
        <f>[1]CALCS!G54</f>
        <v>463</v>
      </c>
      <c r="E158" s="6">
        <f>[1]CALCS!H54</f>
        <v>459</v>
      </c>
      <c r="F158" s="6">
        <f>[1]CALCS!I54</f>
        <v>434</v>
      </c>
      <c r="G158" s="6">
        <f>[1]CALCS!J54</f>
        <v>412</v>
      </c>
      <c r="H158" s="6">
        <f>[1]CALCS!K54</f>
        <v>407</v>
      </c>
      <c r="I158" s="6">
        <f>[1]CALCS!L54</f>
        <v>399</v>
      </c>
      <c r="J158" s="6">
        <f>[1]CALCS!M54</f>
        <v>392</v>
      </c>
      <c r="K158" s="6">
        <f>[1]CALCS!N54</f>
        <v>387</v>
      </c>
      <c r="L158" s="6">
        <f>[1]CALCS!O54</f>
        <v>385</v>
      </c>
      <c r="M158" s="6">
        <f>[1]CALCS!P54</f>
        <v>389</v>
      </c>
      <c r="N158" s="6">
        <f>[1]CALCS!Q54</f>
        <v>404</v>
      </c>
      <c r="O158" s="1"/>
    </row>
    <row r="159" spans="1:15" ht="15" x14ac:dyDescent="0.25">
      <c r="A159" s="9" t="s">
        <v>21</v>
      </c>
      <c r="B159" s="1"/>
      <c r="C159" s="6">
        <f>[1]CALCS!F55</f>
        <v>10078.57</v>
      </c>
      <c r="D159" s="6">
        <f>[1]CALCS!G55</f>
        <v>10675.043999999998</v>
      </c>
      <c r="E159" s="6">
        <f>[1]CALCS!H55</f>
        <v>11351.663999999999</v>
      </c>
      <c r="F159" s="6">
        <f>[1]CALCS!I55</f>
        <v>10899.82</v>
      </c>
      <c r="G159" s="6">
        <f>[1]CALCS!J55</f>
        <v>9047.0599999999977</v>
      </c>
      <c r="H159" s="6">
        <f>[1]CALCS!K55</f>
        <v>7742.7159999999994</v>
      </c>
      <c r="I159" s="6">
        <f>[1]CALCS!L55</f>
        <v>7384.7699999999995</v>
      </c>
      <c r="J159" s="6">
        <f>[1]CALCS!M55</f>
        <v>6533.4160000000002</v>
      </c>
      <c r="K159" s="6">
        <f>[1]CALCS!N55</f>
        <v>6322.3919999999998</v>
      </c>
      <c r="L159" s="6">
        <f>[1]CALCS!O55</f>
        <v>5972.0859999999984</v>
      </c>
      <c r="M159" s="6">
        <f>[1]CALCS!P55</f>
        <v>6111.75</v>
      </c>
      <c r="N159" s="6">
        <f>[1]CALCS!Q55</f>
        <v>5832.4219999999968</v>
      </c>
      <c r="O159" s="1"/>
    </row>
    <row r="160" spans="1:15" ht="15" x14ac:dyDescent="0.25">
      <c r="A160" s="9" t="s">
        <v>57</v>
      </c>
      <c r="B160" s="1"/>
      <c r="C160" s="1">
        <f>[1]CALCS!F56</f>
        <v>1750</v>
      </c>
      <c r="D160" s="1">
        <f>[1]CALCS!G56</f>
        <v>2500</v>
      </c>
      <c r="E160" s="1">
        <f>[1]CALCS!H56</f>
        <v>3520</v>
      </c>
      <c r="F160" s="1">
        <f>[1]CALCS!I56</f>
        <v>2750</v>
      </c>
      <c r="G160" s="1">
        <f>[1]CALCS!J56</f>
        <v>3750</v>
      </c>
      <c r="H160" s="1">
        <f>[1]CALCS!K56</f>
        <v>3500</v>
      </c>
      <c r="I160" s="1">
        <f>[1]CALCS!L56</f>
        <v>2250</v>
      </c>
      <c r="J160" s="1">
        <f>[1]CALCS!M56</f>
        <v>2250</v>
      </c>
      <c r="K160" s="1">
        <f>[1]CALCS!N56</f>
        <v>2500</v>
      </c>
      <c r="L160" s="1">
        <f>[1]CALCS!O56</f>
        <v>2500</v>
      </c>
      <c r="M160" s="1">
        <f>[1]CALCS!P56</f>
        <v>2500</v>
      </c>
      <c r="N160" s="1">
        <f>[1]CALCS!Q56</f>
        <v>2500</v>
      </c>
      <c r="O160" s="1"/>
    </row>
    <row r="161" spans="1:15" ht="15" x14ac:dyDescent="0.25">
      <c r="A161" s="1"/>
      <c r="B161" s="1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5" x14ac:dyDescent="0.25">
      <c r="A162" s="1"/>
      <c r="B162" s="1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"/>
    </row>
    <row r="163" spans="1:15" ht="15" x14ac:dyDescent="0.25">
      <c r="A163" s="1"/>
      <c r="B163" s="1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"/>
    </row>
    <row r="164" spans="1:15" ht="15" x14ac:dyDescent="0.25">
      <c r="A164" s="1"/>
      <c r="B164" s="1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"/>
    </row>
    <row r="165" spans="1:15" ht="15" x14ac:dyDescent="0.25">
      <c r="A165" s="1"/>
      <c r="B165" s="1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"/>
    </row>
    <row r="166" spans="1:15" ht="15" x14ac:dyDescent="0.25">
      <c r="A166" s="1"/>
      <c r="B166" s="1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"/>
    </row>
    <row r="167" spans="1:15" ht="15" x14ac:dyDescent="0.25">
      <c r="A167" s="1"/>
      <c r="B167" s="1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"/>
    </row>
    <row r="168" spans="1:15" ht="15" x14ac:dyDescent="0.25">
      <c r="A168" s="1"/>
      <c r="B168" s="1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"/>
    </row>
    <row r="169" spans="1:15" ht="15" x14ac:dyDescent="0.25">
      <c r="A169" s="1"/>
      <c r="B169" s="1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"/>
    </row>
    <row r="170" spans="1:15" ht="15" x14ac:dyDescent="0.25">
      <c r="A170" s="1"/>
      <c r="B170" s="1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"/>
    </row>
    <row r="171" spans="1:15" ht="15" x14ac:dyDescent="0.25">
      <c r="A171" s="1"/>
      <c r="B171" s="1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"/>
    </row>
    <row r="172" spans="1:15" ht="15" x14ac:dyDescent="0.25">
      <c r="A172" s="1"/>
      <c r="B172" s="1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"/>
    </row>
    <row r="173" spans="1:15" ht="15" x14ac:dyDescent="0.25">
      <c r="A173" s="1"/>
      <c r="B173" s="1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"/>
    </row>
    <row r="174" spans="1:15" ht="15" x14ac:dyDescent="0.25">
      <c r="A174" s="1"/>
      <c r="B174" s="1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"/>
    </row>
    <row r="175" spans="1:15" ht="15" x14ac:dyDescent="0.25">
      <c r="A175" s="1"/>
      <c r="B175" s="1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"/>
    </row>
    <row r="176" spans="1:15" ht="15" x14ac:dyDescent="0.25">
      <c r="A176" s="1"/>
      <c r="B176" s="1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"/>
    </row>
    <row r="177" spans="1:15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5.75" x14ac:dyDescent="0.25">
      <c r="A187" s="1"/>
      <c r="B187" s="2"/>
      <c r="C187" s="3">
        <f>C$3</f>
        <v>45383</v>
      </c>
      <c r="D187" s="3">
        <f t="shared" ref="D187:N187" si="4">D$3</f>
        <v>45413</v>
      </c>
      <c r="E187" s="3">
        <f t="shared" si="4"/>
        <v>45444</v>
      </c>
      <c r="F187" s="3">
        <f t="shared" si="4"/>
        <v>45474</v>
      </c>
      <c r="G187" s="3">
        <f t="shared" si="4"/>
        <v>45505</v>
      </c>
      <c r="H187" s="3">
        <f t="shared" si="4"/>
        <v>45536</v>
      </c>
      <c r="I187" s="3">
        <f t="shared" si="4"/>
        <v>45566</v>
      </c>
      <c r="J187" s="3">
        <f t="shared" si="4"/>
        <v>45597</v>
      </c>
      <c r="K187" s="3">
        <f t="shared" si="4"/>
        <v>45627</v>
      </c>
      <c r="L187" s="3">
        <f t="shared" si="4"/>
        <v>45658</v>
      </c>
      <c r="M187" s="3">
        <f t="shared" si="4"/>
        <v>45689</v>
      </c>
      <c r="N187" s="3">
        <f t="shared" si="4"/>
        <v>45717</v>
      </c>
      <c r="O187" s="1"/>
    </row>
    <row r="188" spans="1:15" ht="15.75" x14ac:dyDescent="0.25">
      <c r="A188" s="4" t="s">
        <v>58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5" x14ac:dyDescent="0.25">
      <c r="A189" s="9" t="s">
        <v>5</v>
      </c>
      <c r="B189" s="1"/>
      <c r="C189" s="6">
        <f>[1]CALCS!F58</f>
        <v>129</v>
      </c>
      <c r="D189" s="6">
        <f>[1]CALCS!G58</f>
        <v>171</v>
      </c>
      <c r="E189" s="6">
        <f>[1]CALCS!H58</f>
        <v>147</v>
      </c>
      <c r="F189" s="6">
        <f>[1]CALCS!I58</f>
        <v>59</v>
      </c>
      <c r="G189" s="6">
        <f>[1]CALCS!J58</f>
        <v>42</v>
      </c>
      <c r="H189" s="6">
        <f>[1]CALCS!K58</f>
        <v>39</v>
      </c>
      <c r="I189" s="6">
        <f>[1]CALCS!L58</f>
        <v>30</v>
      </c>
      <c r="J189" s="6">
        <f>[1]CALCS!M58</f>
        <v>30</v>
      </c>
      <c r="K189" s="6">
        <f>[1]CALCS!N58</f>
        <v>30</v>
      </c>
      <c r="L189" s="6">
        <f>[1]CALCS!O58</f>
        <v>20</v>
      </c>
      <c r="M189" s="6">
        <f>[1]CALCS!P58</f>
        <v>25</v>
      </c>
      <c r="N189" s="6">
        <f>[1]CALCS!Q58</f>
        <v>45</v>
      </c>
      <c r="O189" s="1"/>
    </row>
    <row r="190" spans="1:15" ht="15" x14ac:dyDescent="0.25">
      <c r="A190" s="9" t="s">
        <v>7</v>
      </c>
      <c r="B190" s="1"/>
      <c r="C190" s="5">
        <f>[1]CALCS!F59</f>
        <v>4.2923408440000008</v>
      </c>
      <c r="D190" s="5">
        <f>[1]CALCS!G59</f>
        <v>5.519655258000002</v>
      </c>
      <c r="E190" s="5">
        <f>[1]CALCS!H59</f>
        <v>6.3027995520000024</v>
      </c>
      <c r="F190" s="5">
        <f>[1]CALCS!I59</f>
        <v>8.3471553440000008</v>
      </c>
      <c r="G190" s="5">
        <f>[1]CALCS!J59</f>
        <v>7.6036700520000045</v>
      </c>
      <c r="H190" s="5">
        <f>[1]CALCS!K59</f>
        <v>6.2268416000000038</v>
      </c>
      <c r="I190" s="5">
        <f>[1]CALCS!L59</f>
        <v>3.1044983480000008</v>
      </c>
      <c r="J190" s="5">
        <f>[1]CALCS!M59</f>
        <v>1.4830371359999999</v>
      </c>
      <c r="K190" s="5">
        <f>[1]CALCS!N59</f>
        <v>0.92815929600000002</v>
      </c>
      <c r="L190" s="5">
        <f>[1]CALCS!O59</f>
        <v>1.6708107900000002</v>
      </c>
      <c r="M190" s="5">
        <f>[1]CALCS!P59</f>
        <v>1.3569008840000001</v>
      </c>
      <c r="N190" s="5">
        <f>[1]CALCS!Q59</f>
        <v>2.0225492360000006</v>
      </c>
      <c r="O190" s="1"/>
    </row>
    <row r="191" spans="1:15" ht="15" x14ac:dyDescent="0.25">
      <c r="A191" s="9" t="s">
        <v>9</v>
      </c>
      <c r="B191" s="1"/>
      <c r="C191" s="6">
        <f>[1]CALCS!F60</f>
        <v>185.05918500000001</v>
      </c>
      <c r="D191" s="6">
        <f>[1]CALCS!G60</f>
        <v>179.76871700000001</v>
      </c>
      <c r="E191" s="6">
        <f>[1]CALCS!H60</f>
        <v>124.6147</v>
      </c>
      <c r="F191" s="6">
        <f>[1]CALCS!I60</f>
        <v>113.36825</v>
      </c>
      <c r="G191" s="6">
        <f>[1]CALCS!J60</f>
        <v>93.368250000000003</v>
      </c>
      <c r="H191" s="6">
        <f>[1]CALCS!K60</f>
        <v>79.672499999999999</v>
      </c>
      <c r="I191" s="6">
        <f>[1]CALCS!L60</f>
        <v>90.792000000000002</v>
      </c>
      <c r="J191" s="6">
        <f>[1]CALCS!M60</f>
        <v>21.898</v>
      </c>
      <c r="K191" s="6">
        <f>[1]CALCS!N60</f>
        <v>21.294599999999999</v>
      </c>
      <c r="L191" s="6">
        <f>[1]CALCS!O60</f>
        <v>13.881</v>
      </c>
      <c r="M191" s="6">
        <f>[1]CALCS!P60</f>
        <v>21.691200000000002</v>
      </c>
      <c r="N191" s="6">
        <f>[1]CALCS!Q60</f>
        <v>22.794599999999999</v>
      </c>
      <c r="O191" s="1"/>
    </row>
    <row r="192" spans="1:15" ht="15" x14ac:dyDescent="0.25">
      <c r="A192" s="9" t="s">
        <v>59</v>
      </c>
      <c r="B192" s="1"/>
      <c r="C192" s="5">
        <f>[1]CALCS!F61</f>
        <v>62.6</v>
      </c>
      <c r="D192" s="5">
        <f>[1]CALCS!G61</f>
        <v>67</v>
      </c>
      <c r="E192" s="5">
        <f>[1]CALCS!H61</f>
        <v>67</v>
      </c>
      <c r="F192" s="5">
        <f>[1]CALCS!I61</f>
        <v>67</v>
      </c>
      <c r="G192" s="5">
        <f>[1]CALCS!J61</f>
        <v>67</v>
      </c>
      <c r="H192" s="5">
        <f>[1]CALCS!K61</f>
        <v>63.8</v>
      </c>
      <c r="I192" s="5">
        <f>[1]CALCS!L61</f>
        <v>57</v>
      </c>
      <c r="J192" s="5">
        <f>[1]CALCS!M61</f>
        <v>57</v>
      </c>
      <c r="K192" s="5">
        <f>[1]CALCS!N61</f>
        <v>57</v>
      </c>
      <c r="L192" s="5">
        <f>[1]CALCS!O61</f>
        <v>57</v>
      </c>
      <c r="M192" s="5">
        <f>[1]CALCS!P61</f>
        <v>57</v>
      </c>
      <c r="N192" s="5">
        <f>[1]CALCS!Q61</f>
        <v>58.5</v>
      </c>
      <c r="O192" s="1"/>
    </row>
    <row r="193" spans="1:15" ht="15" x14ac:dyDescent="0.25">
      <c r="A193" s="9" t="s">
        <v>60</v>
      </c>
      <c r="B193" s="1"/>
      <c r="C193" s="6">
        <f>[1]CALCS!F62</f>
        <v>1536.6666666666667</v>
      </c>
      <c r="D193" s="6">
        <f>[1]CALCS!G62</f>
        <v>1241.9354838709678</v>
      </c>
      <c r="E193" s="6">
        <f>[1]CALCS!H62</f>
        <v>363.33333333333331</v>
      </c>
      <c r="F193" s="6">
        <f>[1]CALCS!I62</f>
        <v>250</v>
      </c>
      <c r="G193" s="6">
        <f>[1]CALCS!J62</f>
        <v>250</v>
      </c>
      <c r="H193" s="6">
        <f>[1]CALCS!K62</f>
        <v>250</v>
      </c>
      <c r="I193" s="6">
        <f>[1]CALCS!L62</f>
        <v>774.19354838709683</v>
      </c>
      <c r="J193" s="6">
        <f>[1]CALCS!M62</f>
        <v>200</v>
      </c>
      <c r="K193" s="6">
        <f>[1]CALCS!N62</f>
        <v>200</v>
      </c>
      <c r="L193" s="6">
        <f>[1]CALCS!O62</f>
        <v>225.80645161290323</v>
      </c>
      <c r="M193" s="6">
        <f>[1]CALCS!P62</f>
        <v>228.57142857142858</v>
      </c>
      <c r="N193" s="6">
        <f>[1]CALCS!Q62</f>
        <v>200</v>
      </c>
      <c r="O193" s="1"/>
    </row>
    <row r="194" spans="1:15" ht="15" x14ac:dyDescent="0.25">
      <c r="A194" s="9" t="s">
        <v>61</v>
      </c>
      <c r="B194" s="1"/>
      <c r="C194" s="6">
        <f>[1]CALCS!F63</f>
        <v>91.459185000000005</v>
      </c>
      <c r="D194" s="6">
        <f>[1]CALCS!G63</f>
        <v>76.368717000000004</v>
      </c>
      <c r="E194" s="6">
        <f>[1]CALCS!H63</f>
        <v>21.614699999999999</v>
      </c>
      <c r="F194" s="6">
        <f>[1]CALCS!I63</f>
        <v>15.36825</v>
      </c>
      <c r="G194" s="6">
        <f>[1]CALCS!J63</f>
        <v>15.36825</v>
      </c>
      <c r="H194" s="6">
        <f>[1]CALCS!K63</f>
        <v>14.8725</v>
      </c>
      <c r="I194" s="6">
        <f>[1]CALCS!L63</f>
        <v>47.592000000000006</v>
      </c>
      <c r="J194" s="6">
        <f>[1]CALCS!M63</f>
        <v>11.898</v>
      </c>
      <c r="K194" s="6">
        <f>[1]CALCS!N63</f>
        <v>12.294599999999999</v>
      </c>
      <c r="L194" s="6">
        <f>[1]CALCS!O63</f>
        <v>13.881</v>
      </c>
      <c r="M194" s="6">
        <f>[1]CALCS!P63</f>
        <v>12.6912</v>
      </c>
      <c r="N194" s="6">
        <f>[1]CALCS!Q63</f>
        <v>12.294599999999999</v>
      </c>
      <c r="O194" s="1"/>
    </row>
    <row r="195" spans="1:15" ht="15" x14ac:dyDescent="0.25">
      <c r="A195" s="9" t="s">
        <v>62</v>
      </c>
      <c r="B195" s="1"/>
      <c r="C195" s="6">
        <f>[1]CALCS!F64</f>
        <v>80</v>
      </c>
      <c r="D195" s="6">
        <f>[1]CALCS!G64</f>
        <v>90</v>
      </c>
      <c r="E195" s="6">
        <f>[1]CALCS!H64</f>
        <v>95</v>
      </c>
      <c r="F195" s="6">
        <f>[1]CALCS!I64</f>
        <v>90</v>
      </c>
      <c r="G195" s="6">
        <f>[1]CALCS!J64</f>
        <v>70</v>
      </c>
      <c r="H195" s="6">
        <f>[1]CALCS!K64</f>
        <v>60</v>
      </c>
      <c r="I195" s="6">
        <f>[1]CALCS!L64</f>
        <v>40</v>
      </c>
      <c r="J195" s="6">
        <f>[1]CALCS!M64</f>
        <v>0</v>
      </c>
      <c r="K195" s="6">
        <f>[1]CALCS!N64</f>
        <v>0</v>
      </c>
      <c r="L195" s="6">
        <f>[1]CALCS!O64</f>
        <v>0</v>
      </c>
      <c r="M195" s="6">
        <f>[1]CALCS!P64</f>
        <v>0</v>
      </c>
      <c r="N195" s="6">
        <f>[1]CALCS!Q64</f>
        <v>0</v>
      </c>
      <c r="O195" s="1"/>
    </row>
    <row r="196" spans="1:15" ht="15" x14ac:dyDescent="0.25">
      <c r="A196" s="9" t="s">
        <v>63</v>
      </c>
      <c r="B196" s="1"/>
      <c r="C196" s="6">
        <f>[1]CALCS!F65</f>
        <v>9</v>
      </c>
      <c r="D196" s="6">
        <f>[1]CALCS!G65</f>
        <v>9</v>
      </c>
      <c r="E196" s="6">
        <f>[1]CALCS!H65</f>
        <v>8</v>
      </c>
      <c r="F196" s="6">
        <f>[1]CALCS!I65</f>
        <v>8</v>
      </c>
      <c r="G196" s="6">
        <f>[1]CALCS!J65</f>
        <v>8</v>
      </c>
      <c r="H196" s="6">
        <f>[1]CALCS!K65</f>
        <v>8</v>
      </c>
      <c r="I196" s="6">
        <f>[1]CALCS!L65</f>
        <v>10</v>
      </c>
      <c r="J196" s="6">
        <f>[1]CALCS!M65</f>
        <v>10</v>
      </c>
      <c r="K196" s="6">
        <f>[1]CALCS!N65</f>
        <v>9</v>
      </c>
      <c r="L196" s="6">
        <f>[1]CALCS!O65</f>
        <v>0</v>
      </c>
      <c r="M196" s="6">
        <f>[1]CALCS!P65</f>
        <v>9</v>
      </c>
      <c r="N196" s="6">
        <f>[1]CALCS!Q65</f>
        <v>9</v>
      </c>
      <c r="O196" s="1"/>
    </row>
    <row r="197" spans="1:15" ht="15" x14ac:dyDescent="0.25">
      <c r="A197" s="9" t="s">
        <v>43</v>
      </c>
      <c r="B197" s="6">
        <f>[1]CALCS!D66</f>
        <v>2008</v>
      </c>
      <c r="C197" s="6">
        <f>[1]CALCS!F66</f>
        <v>1947.648474156</v>
      </c>
      <c r="D197" s="6">
        <f>[1]CALCS!G66</f>
        <v>1933.3601018979998</v>
      </c>
      <c r="E197" s="6">
        <f>[1]CALCS!H66</f>
        <v>1949.4426023459998</v>
      </c>
      <c r="F197" s="6">
        <f>[1]CALCS!I66</f>
        <v>1886.7271970019999</v>
      </c>
      <c r="G197" s="6">
        <f>[1]CALCS!J66</f>
        <v>1827.7552769499998</v>
      </c>
      <c r="H197" s="6">
        <f>[1]CALCS!K66</f>
        <v>1780.85593535</v>
      </c>
      <c r="I197" s="6">
        <f>[1]CALCS!L66</f>
        <v>1716.959437002</v>
      </c>
      <c r="J197" s="6">
        <f>[1]CALCS!M66</f>
        <v>1723.5783998660002</v>
      </c>
      <c r="K197" s="6">
        <f>[1]CALCS!N66</f>
        <v>1731.3556405700001</v>
      </c>
      <c r="L197" s="6">
        <f>[1]CALCS!O66</f>
        <v>1735.8038297800001</v>
      </c>
      <c r="M197" s="6">
        <f>[1]CALCS!P66</f>
        <v>1737.7557288960002</v>
      </c>
      <c r="N197" s="6">
        <f>[1]CALCS!Q66</f>
        <v>1757.9385796600002</v>
      </c>
      <c r="O197" s="1"/>
    </row>
    <row r="198" spans="1:15" ht="15" x14ac:dyDescent="0.25">
      <c r="A198" s="9" t="s">
        <v>19</v>
      </c>
      <c r="B198" s="1"/>
      <c r="C198" s="6">
        <f>[1]CALCS!F67</f>
        <v>1047</v>
      </c>
      <c r="D198" s="6">
        <f>[1]CALCS!G67</f>
        <v>1046</v>
      </c>
      <c r="E198" s="6">
        <f>[1]CALCS!H67</f>
        <v>1048</v>
      </c>
      <c r="F198" s="6">
        <f>[1]CALCS!I67</f>
        <v>1042</v>
      </c>
      <c r="G198" s="6">
        <f>[1]CALCS!J67</f>
        <v>1036</v>
      </c>
      <c r="H198" s="6">
        <f>[1]CALCS!K67</f>
        <v>1032</v>
      </c>
      <c r="I198" s="6">
        <f>[1]CALCS!L67</f>
        <v>1026</v>
      </c>
      <c r="J198" s="6">
        <f>[1]CALCS!M67</f>
        <v>1026</v>
      </c>
      <c r="K198" s="6">
        <f>[1]CALCS!N67</f>
        <v>1027</v>
      </c>
      <c r="L198" s="6">
        <f>[1]CALCS!O67</f>
        <v>1027</v>
      </c>
      <c r="M198" s="6">
        <f>[1]CALCS!P67</f>
        <v>1028</v>
      </c>
      <c r="N198" s="6">
        <f>[1]CALCS!Q67</f>
        <v>1030</v>
      </c>
      <c r="O198" s="1"/>
    </row>
    <row r="199" spans="1:15" ht="15" x14ac:dyDescent="0.25">
      <c r="A199" s="9" t="s">
        <v>21</v>
      </c>
      <c r="B199" s="1"/>
      <c r="C199" s="6">
        <f>[1]CALCS!F68</f>
        <v>11120.054000000002</v>
      </c>
      <c r="D199" s="6">
        <f>[1]CALCS!G68</f>
        <v>10886.894000000004</v>
      </c>
      <c r="E199" s="6">
        <f>[1]CALCS!H68</f>
        <v>10848.192000000005</v>
      </c>
      <c r="F199" s="6">
        <f>[1]CALCS!I68</f>
        <v>10925.596000000001</v>
      </c>
      <c r="G199" s="6">
        <f>[1]CALCS!J68</f>
        <v>10694.332000000006</v>
      </c>
      <c r="H199" s="6">
        <f>[1]CALCS!K68</f>
        <v>10465.280000000006</v>
      </c>
      <c r="I199" s="6">
        <f>[1]CALCS!L68</f>
        <v>10313.948000000004</v>
      </c>
      <c r="J199" s="6">
        <f>[1]CALCS!M68</f>
        <v>10088.688</v>
      </c>
      <c r="K199" s="6">
        <f>[1]CALCS!N68</f>
        <v>10088.688</v>
      </c>
      <c r="L199" s="6">
        <f>[1]CALCS!O68</f>
        <v>10126.126</v>
      </c>
      <c r="M199" s="6">
        <f>[1]CALCS!P68</f>
        <v>10126.126</v>
      </c>
      <c r="N199" s="6">
        <f>[1]CALCS!Q68</f>
        <v>10163.564000000002</v>
      </c>
      <c r="O199" s="1"/>
    </row>
    <row r="200" spans="1:15" ht="15" x14ac:dyDescent="0.25">
      <c r="A200" s="9" t="s">
        <v>64</v>
      </c>
      <c r="B200" s="1"/>
      <c r="C200" s="6">
        <f>[1]CALCS!F70</f>
        <v>188</v>
      </c>
      <c r="D200" s="6">
        <f>[1]CALCS!G70</f>
        <v>150</v>
      </c>
      <c r="E200" s="6">
        <f>[1]CALCS!H70</f>
        <v>60</v>
      </c>
      <c r="F200" s="6">
        <f>[1]CALCS!I70</f>
        <v>39</v>
      </c>
      <c r="G200" s="6">
        <f>[1]CALCS!J70</f>
        <v>37</v>
      </c>
      <c r="H200" s="6">
        <f>[1]CALCS!K70</f>
        <v>42</v>
      </c>
      <c r="I200" s="6">
        <f>[1]CALCS!L70</f>
        <v>59</v>
      </c>
      <c r="J200" s="6">
        <f>[1]CALCS!M70</f>
        <v>62</v>
      </c>
      <c r="K200" s="6">
        <f>[1]CALCS!N70</f>
        <v>63</v>
      </c>
      <c r="L200" s="6">
        <f>[1]CALCS!O70</f>
        <v>63</v>
      </c>
      <c r="M200" s="6">
        <f>[1]CALCS!P70</f>
        <v>70</v>
      </c>
      <c r="N200" s="6">
        <f>[1]CALCS!Q70</f>
        <v>86</v>
      </c>
      <c r="O200" s="1"/>
    </row>
    <row r="201" spans="1:15" ht="15" x14ac:dyDescent="0.25">
      <c r="A201" s="9" t="s">
        <v>65</v>
      </c>
      <c r="B201" s="11"/>
      <c r="C201" s="6">
        <f>[1]CALCS!F72</f>
        <v>4698.1843166918807</v>
      </c>
      <c r="D201" s="6">
        <f>[1]CALCS!G72</f>
        <v>3682.9283913262739</v>
      </c>
      <c r="E201" s="6">
        <f>[1]CALCS!H72</f>
        <v>1371.9062027231466</v>
      </c>
      <c r="F201" s="6">
        <f>[1]CALCS!I72</f>
        <v>884.4248694548827</v>
      </c>
      <c r="G201" s="6">
        <f>[1]CALCS!J72</f>
        <v>851.89026076488869</v>
      </c>
      <c r="H201" s="6">
        <f>[1]CALCS!K72</f>
        <v>956.00100857286941</v>
      </c>
      <c r="I201" s="6">
        <f>[1]CALCS!L72</f>
        <v>1733.9645047419194</v>
      </c>
      <c r="J201" s="6">
        <f>[1]CALCS!M72</f>
        <v>1242.1919650361403</v>
      </c>
      <c r="K201" s="6">
        <f>[1]CALCS!N72</f>
        <v>1224.8401737348104</v>
      </c>
      <c r="L201" s="6">
        <f>[1]CALCS!O72</f>
        <v>1250.6466253477136</v>
      </c>
      <c r="M201" s="6">
        <f>[1]CALCS!P72</f>
        <v>1489.2875153086952</v>
      </c>
      <c r="N201" s="6">
        <f>[1]CALCS!Q72</f>
        <v>1598.9881736697412</v>
      </c>
      <c r="O201" s="1"/>
    </row>
    <row r="202" spans="1:15" ht="15" x14ac:dyDescent="0.25">
      <c r="A202" s="1"/>
      <c r="B202" s="1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"/>
    </row>
    <row r="203" spans="1:15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5.75" x14ac:dyDescent="0.25">
      <c r="A229" s="1"/>
      <c r="B229" s="2"/>
      <c r="C229" s="3">
        <f>C$3</f>
        <v>45383</v>
      </c>
      <c r="D229" s="3">
        <f t="shared" ref="D229:N229" si="5">D$3</f>
        <v>45413</v>
      </c>
      <c r="E229" s="3">
        <f t="shared" si="5"/>
        <v>45444</v>
      </c>
      <c r="F229" s="3">
        <f t="shared" si="5"/>
        <v>45474</v>
      </c>
      <c r="G229" s="3">
        <f t="shared" si="5"/>
        <v>45505</v>
      </c>
      <c r="H229" s="3">
        <f t="shared" si="5"/>
        <v>45536</v>
      </c>
      <c r="I229" s="3">
        <f t="shared" si="5"/>
        <v>45566</v>
      </c>
      <c r="J229" s="3">
        <f t="shared" si="5"/>
        <v>45597</v>
      </c>
      <c r="K229" s="3">
        <f t="shared" si="5"/>
        <v>45627</v>
      </c>
      <c r="L229" s="3">
        <f t="shared" si="5"/>
        <v>45658</v>
      </c>
      <c r="M229" s="3">
        <f t="shared" si="5"/>
        <v>45689</v>
      </c>
      <c r="N229" s="3">
        <f t="shared" si="5"/>
        <v>45717</v>
      </c>
      <c r="O229" s="1"/>
    </row>
    <row r="230" spans="1:15" ht="15.75" x14ac:dyDescent="0.25">
      <c r="A230" s="4" t="s">
        <v>66</v>
      </c>
      <c r="B230" s="1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1"/>
    </row>
    <row r="231" spans="1:15" ht="15" x14ac:dyDescent="0.25">
      <c r="A231" s="9" t="s">
        <v>67</v>
      </c>
      <c r="B231" s="1"/>
      <c r="C231" s="7">
        <f>[1]CALCS!F142</f>
        <v>-100.97359999999999</v>
      </c>
      <c r="D231" s="7">
        <f>[1]CALCS!G142</f>
        <v>-124.99079999999998</v>
      </c>
      <c r="E231" s="7">
        <f>[1]CALCS!H142</f>
        <v>-149.54315</v>
      </c>
      <c r="F231" s="7">
        <f>[1]CALCS!I142</f>
        <v>-90.641499999999994</v>
      </c>
      <c r="G231" s="7">
        <f>[1]CALCS!J142</f>
        <v>-27.086862499999992</v>
      </c>
      <c r="H231" s="7">
        <f>[1]CALCS!K142</f>
        <v>10.474300000000007</v>
      </c>
      <c r="I231" s="7">
        <f>[1]CALCS!L142</f>
        <v>24.592887500000003</v>
      </c>
      <c r="J231" s="7">
        <f>[1]CALCS!M142</f>
        <v>77.642062499999994</v>
      </c>
      <c r="K231" s="7">
        <f>[1]CALCS!N142</f>
        <v>183.7360625</v>
      </c>
      <c r="L231" s="7">
        <f>[1]CALCS!O142</f>
        <v>178.47212499999998</v>
      </c>
      <c r="M231" s="7">
        <f>[1]CALCS!P142</f>
        <v>-33.671050000000001</v>
      </c>
      <c r="N231" s="7">
        <f>[1]CALCS!Q142</f>
        <v>-32.859050000000003</v>
      </c>
      <c r="O231" s="1"/>
    </row>
    <row r="232" spans="1:15" ht="15" x14ac:dyDescent="0.25">
      <c r="A232" s="9" t="s">
        <v>68</v>
      </c>
      <c r="B232" s="1">
        <f>[1]CALCS!D143</f>
        <v>783</v>
      </c>
      <c r="C232" s="7">
        <f>[1]CALCS!F143</f>
        <v>667.31268583008</v>
      </c>
      <c r="D232" s="7">
        <f>[1]CALCS!G143</f>
        <v>525.02428173767998</v>
      </c>
      <c r="E232" s="7">
        <f>[1]CALCS!H143</f>
        <v>357.90326355528003</v>
      </c>
      <c r="F232" s="7">
        <f>[1]CALCS!I143</f>
        <v>248.42248352360002</v>
      </c>
      <c r="G232" s="7">
        <f>[1]CALCS!J143</f>
        <v>203.53833073740003</v>
      </c>
      <c r="H232" s="7">
        <f>[1]CALCS!K143</f>
        <v>200.48796284200003</v>
      </c>
      <c r="I232" s="7">
        <f>[1]CALCS!L143</f>
        <v>214.65285951844001</v>
      </c>
      <c r="J232" s="7">
        <f>[1]CALCS!M143</f>
        <v>284.60007476855998</v>
      </c>
      <c r="K232" s="7">
        <f>[1]CALCS!N143</f>
        <v>460.88274165415999</v>
      </c>
      <c r="L232" s="7">
        <f>[1]CALCS!O143</f>
        <v>633.49146590056</v>
      </c>
      <c r="M232" s="7">
        <f>[1]CALCS!P143</f>
        <v>594.08694628599994</v>
      </c>
      <c r="N232" s="7">
        <f>[1]CALCS!Q143</f>
        <v>551.14618105691989</v>
      </c>
      <c r="O232" s="1"/>
    </row>
    <row r="233" spans="1:15" ht="15" x14ac:dyDescent="0.25">
      <c r="A233" s="9" t="s">
        <v>69</v>
      </c>
      <c r="B233" s="7"/>
      <c r="C233" s="7">
        <f>[1]CALCS!F146</f>
        <v>-75.314750000000004</v>
      </c>
      <c r="D233" s="7">
        <f>[1]CALCS!G146</f>
        <v>-129.00790000000001</v>
      </c>
      <c r="E233" s="7">
        <f>[1]CALCS!H146</f>
        <v>-137.74199999999999</v>
      </c>
      <c r="F233" s="7">
        <f>[1]CALCS!I146</f>
        <v>198.25800000000001</v>
      </c>
      <c r="G233" s="7">
        <f>[1]CALCS!J146</f>
        <v>177.523</v>
      </c>
      <c r="H233" s="7">
        <f>[1]CALCS!K146</f>
        <v>262.62900000000002</v>
      </c>
      <c r="I233" s="7">
        <f>[1]CALCS!L146</f>
        <v>-16.265000000000001</v>
      </c>
      <c r="J233" s="7">
        <f>[1]CALCS!M146</f>
        <v>48.734999999999999</v>
      </c>
      <c r="K233" s="7">
        <f>[1]CALCS!N146</f>
        <v>34.841000000000001</v>
      </c>
      <c r="L233" s="7">
        <f>[1]CALCS!O146</f>
        <v>29.681999999999999</v>
      </c>
      <c r="M233" s="7">
        <f>[1]CALCS!P146</f>
        <v>9.5760000000000005</v>
      </c>
      <c r="N233" s="7">
        <f>[1]CALCS!Q146</f>
        <v>71.364000000000004</v>
      </c>
      <c r="O233" s="1"/>
    </row>
    <row r="234" spans="1:15" ht="15" x14ac:dyDescent="0.25">
      <c r="A234" s="9" t="s">
        <v>70</v>
      </c>
      <c r="B234" s="7">
        <f>[1]CALCS!D147</f>
        <v>522</v>
      </c>
      <c r="C234" s="7">
        <f>[1]CALCS!F147</f>
        <v>443.62510423392001</v>
      </c>
      <c r="D234" s="7">
        <f>[1]CALCS!G147</f>
        <v>310.89862940632003</v>
      </c>
      <c r="E234" s="7">
        <f>[1]CALCS!H147</f>
        <v>170.24967166872003</v>
      </c>
      <c r="F234" s="7">
        <f>[1]CALCS!I147</f>
        <v>365.30593035640004</v>
      </c>
      <c r="G234" s="7">
        <f>[1]CALCS!J147</f>
        <v>539.67453918260003</v>
      </c>
      <c r="H234" s="7">
        <f>[1]CALCS!K147</f>
        <v>799.45657325800005</v>
      </c>
      <c r="I234" s="7">
        <f>[1]CALCS!L147</f>
        <v>781.58128573356009</v>
      </c>
      <c r="J234" s="7">
        <f>[1]CALCS!M147</f>
        <v>829.5327345794401</v>
      </c>
      <c r="K234" s="7">
        <f>[1]CALCS!N147</f>
        <v>863.86245867384014</v>
      </c>
      <c r="L234" s="7">
        <f>[1]CALCS!O147</f>
        <v>892.57083654744019</v>
      </c>
      <c r="M234" s="7">
        <f>[1]CALCS!P147</f>
        <v>901.31973251400018</v>
      </c>
      <c r="N234" s="7">
        <f>[1]CALCS!Q147</f>
        <v>971.46392597908016</v>
      </c>
      <c r="O234" s="1"/>
    </row>
    <row r="235" spans="1:15" ht="15" x14ac:dyDescent="0.25">
      <c r="A235" s="9" t="s">
        <v>71</v>
      </c>
      <c r="B235" s="14">
        <f>B234+B232</f>
        <v>1305</v>
      </c>
      <c r="C235" s="7">
        <f>[1]CALCS!F148</f>
        <v>1110.937790064</v>
      </c>
      <c r="D235" s="7">
        <f>[1]CALCS!G148</f>
        <v>835.92291114399995</v>
      </c>
      <c r="E235" s="7">
        <f>[1]CALCS!H148</f>
        <v>528.15293522400009</v>
      </c>
      <c r="F235" s="7">
        <f>[1]CALCS!I148</f>
        <v>613.72841388000006</v>
      </c>
      <c r="G235" s="7">
        <f>[1]CALCS!J148</f>
        <v>743.21286992</v>
      </c>
      <c r="H235" s="7">
        <f>[1]CALCS!K148</f>
        <v>999.94453610000005</v>
      </c>
      <c r="I235" s="7">
        <f>[1]CALCS!L148</f>
        <v>996.23414525200008</v>
      </c>
      <c r="J235" s="7">
        <f>[1]CALCS!M148</f>
        <v>1114.1328093480001</v>
      </c>
      <c r="K235" s="7">
        <f>[1]CALCS!N148</f>
        <v>1324.745200328</v>
      </c>
      <c r="L235" s="7">
        <f>[1]CALCS!O148</f>
        <v>1526.0623024480001</v>
      </c>
      <c r="M235" s="7">
        <f>[1]CALCS!P148</f>
        <v>1495.4066788</v>
      </c>
      <c r="N235" s="7">
        <f>[1]CALCS!Q148</f>
        <v>1522.610107036</v>
      </c>
      <c r="O235" s="1"/>
    </row>
    <row r="236" spans="1:15" ht="15" x14ac:dyDescent="0.25">
      <c r="A236" s="9" t="s">
        <v>21</v>
      </c>
      <c r="B236" s="1"/>
      <c r="C236" s="7">
        <f>[1]CALCS!F149</f>
        <v>11072.176000000001</v>
      </c>
      <c r="D236" s="7">
        <f>[1]CALCS!G149</f>
        <v>10485.560000000001</v>
      </c>
      <c r="E236" s="7">
        <f>[1]CALCS!H149</f>
        <v>9440.3199999999979</v>
      </c>
      <c r="F236" s="7">
        <f>[1]CALCS!I149</f>
        <v>7907.0959999999995</v>
      </c>
      <c r="G236" s="7">
        <f>[1]CALCS!J149</f>
        <v>8370.86</v>
      </c>
      <c r="H236" s="7">
        <f>[1]CALCS!K149</f>
        <v>9027.9560000000001</v>
      </c>
      <c r="I236" s="7">
        <f>[1]CALCS!L149</f>
        <v>10093.948</v>
      </c>
      <c r="J236" s="7">
        <f>[1]CALCS!M149</f>
        <v>10057.132000000001</v>
      </c>
      <c r="K236" s="7">
        <f>[1]CALCS!N149</f>
        <v>10485.560000000001</v>
      </c>
      <c r="L236" s="7">
        <f>[1]CALCS!O149</f>
        <v>11133.471999999998</v>
      </c>
      <c r="M236" s="7">
        <f>[1]CALCS!P149</f>
        <v>11646.072</v>
      </c>
      <c r="N236" s="7">
        <f>[1]CALCS!Q149</f>
        <v>11565.436</v>
      </c>
    </row>
    <row r="237" spans="1:15" ht="15" x14ac:dyDescent="0.25">
      <c r="A237" s="9" t="s">
        <v>72</v>
      </c>
      <c r="C237" s="7">
        <f>[1]CALCS!F150</f>
        <v>464</v>
      </c>
      <c r="D237" s="7">
        <f>[1]CALCS!G150</f>
        <v>436</v>
      </c>
      <c r="E237" s="7">
        <f>[1]CALCS!H150</f>
        <v>401</v>
      </c>
      <c r="F237" s="7">
        <f>[1]CALCS!I150</f>
        <v>411</v>
      </c>
      <c r="G237" s="7">
        <f>[1]CALCS!J150</f>
        <v>426</v>
      </c>
      <c r="H237" s="7">
        <f>[1]CALCS!K150</f>
        <v>453</v>
      </c>
      <c r="I237" s="7">
        <f>[1]CALCS!L150</f>
        <v>452</v>
      </c>
      <c r="J237" s="7">
        <f>[1]CALCS!M150</f>
        <v>464</v>
      </c>
      <c r="K237" s="7">
        <f>[1]CALCS!N150</f>
        <v>484</v>
      </c>
      <c r="L237" s="7">
        <f>[1]CALCS!O150</f>
        <v>502</v>
      </c>
      <c r="M237" s="7">
        <f>[1]CALCS!P150</f>
        <v>499</v>
      </c>
      <c r="N237" s="7">
        <f>[1]CALCS!Q150</f>
        <v>501</v>
      </c>
    </row>
    <row r="263" spans="1:14" ht="15.75" x14ac:dyDescent="0.25">
      <c r="A263" s="1"/>
      <c r="B263" s="3"/>
      <c r="C263" s="3">
        <f t="shared" ref="C263:N263" si="6">C$3</f>
        <v>45383</v>
      </c>
      <c r="D263" s="3">
        <f t="shared" si="6"/>
        <v>45413</v>
      </c>
      <c r="E263" s="3">
        <f t="shared" si="6"/>
        <v>45444</v>
      </c>
      <c r="F263" s="3">
        <f t="shared" si="6"/>
        <v>45474</v>
      </c>
      <c r="G263" s="3">
        <f t="shared" si="6"/>
        <v>45505</v>
      </c>
      <c r="H263" s="3">
        <f t="shared" si="6"/>
        <v>45536</v>
      </c>
      <c r="I263" s="3">
        <f t="shared" si="6"/>
        <v>45566</v>
      </c>
      <c r="J263" s="3">
        <f t="shared" si="6"/>
        <v>45597</v>
      </c>
      <c r="K263" s="3">
        <f t="shared" si="6"/>
        <v>45627</v>
      </c>
      <c r="L263" s="3">
        <f t="shared" si="6"/>
        <v>45658</v>
      </c>
      <c r="M263" s="3">
        <f t="shared" si="6"/>
        <v>45689</v>
      </c>
      <c r="N263" s="3">
        <f t="shared" si="6"/>
        <v>45717</v>
      </c>
    </row>
    <row r="264" spans="1:14" ht="15.75" x14ac:dyDescent="0.25">
      <c r="A264" s="4" t="s">
        <v>73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4" ht="15" x14ac:dyDescent="0.25">
      <c r="A265" s="1" t="s">
        <v>74</v>
      </c>
      <c r="B265" s="1"/>
      <c r="C265" s="6">
        <f>SUM([1]CALCS!F98:F103)</f>
        <v>0</v>
      </c>
      <c r="D265" s="6">
        <f>SUM([1]CALCS!G98:G103)</f>
        <v>0</v>
      </c>
      <c r="E265" s="6">
        <f>SUM([1]CALCS!H98:H103)</f>
        <v>0</v>
      </c>
      <c r="F265" s="6">
        <f>SUM([1]CALCS!I98:I103)</f>
        <v>15</v>
      </c>
      <c r="G265" s="6">
        <f>SUM([1]CALCS!J98:J103)</f>
        <v>15</v>
      </c>
      <c r="H265" s="6">
        <f>SUM([1]CALCS!K98:K103)</f>
        <v>15</v>
      </c>
      <c r="I265" s="6">
        <f>SUM([1]CALCS!L98:L103)</f>
        <v>0</v>
      </c>
      <c r="J265" s="6">
        <f>SUM([1]CALCS!M98:M103)</f>
        <v>0</v>
      </c>
      <c r="K265" s="6">
        <f>SUM([1]CALCS!N98:N103)</f>
        <v>0</v>
      </c>
      <c r="L265" s="6">
        <f>SUM([1]CALCS!O98:O103)</f>
        <v>0</v>
      </c>
      <c r="M265" s="6">
        <f>SUM([1]CALCS!P98:P103)</f>
        <v>0</v>
      </c>
      <c r="N265" s="6">
        <f>SUM([1]CALCS!Q98:Q103)</f>
        <v>0</v>
      </c>
    </row>
    <row r="266" spans="1:14" ht="15" x14ac:dyDescent="0.25">
      <c r="A266" s="1" t="s">
        <v>75</v>
      </c>
      <c r="B266" s="1"/>
      <c r="C266" s="5">
        <f>[1]CALCS!F93</f>
        <v>12</v>
      </c>
      <c r="D266" s="5">
        <f>[1]CALCS!G93</f>
        <v>12</v>
      </c>
      <c r="E266" s="5">
        <f>[1]CALCS!H93</f>
        <v>10</v>
      </c>
      <c r="F266" s="5">
        <f>[1]CALCS!I93</f>
        <v>11</v>
      </c>
      <c r="G266" s="5">
        <f>[1]CALCS!J93</f>
        <v>12</v>
      </c>
      <c r="H266" s="5">
        <f>[1]CALCS!K93</f>
        <v>13</v>
      </c>
      <c r="I266" s="5">
        <f>[1]CALCS!L93</f>
        <v>14</v>
      </c>
      <c r="J266" s="5">
        <f>[1]CALCS!M93</f>
        <v>14</v>
      </c>
      <c r="K266" s="5">
        <f>[1]CALCS!N93</f>
        <v>14</v>
      </c>
      <c r="L266" s="5">
        <f>[1]CALCS!O93</f>
        <v>13</v>
      </c>
      <c r="M266" s="5">
        <f>[1]CALCS!P93</f>
        <v>14</v>
      </c>
      <c r="N266" s="5">
        <f>[1]CALCS!Q93</f>
        <v>12</v>
      </c>
    </row>
    <row r="267" spans="1:14" ht="15" x14ac:dyDescent="0.25">
      <c r="A267" s="1" t="s">
        <v>76</v>
      </c>
      <c r="B267" s="1"/>
      <c r="C267" s="6">
        <f>[1]CALCS!F97</f>
        <v>57.124800000000008</v>
      </c>
      <c r="D267" s="6">
        <f>[1]CALCS!G97</f>
        <v>138.34912500000002</v>
      </c>
      <c r="E267" s="6">
        <f>[1]CALCS!H97</f>
        <v>194</v>
      </c>
      <c r="F267" s="6">
        <f>[1]CALCS!I97</f>
        <v>262</v>
      </c>
      <c r="G267" s="6">
        <f>[1]CALCS!J97</f>
        <v>250</v>
      </c>
      <c r="H267" s="6">
        <f>[1]CALCS!K97</f>
        <v>202</v>
      </c>
      <c r="I267" s="6">
        <f>[1]CALCS!L97</f>
        <v>152</v>
      </c>
      <c r="J267" s="6">
        <f>[1]CALCS!M97</f>
        <v>154</v>
      </c>
      <c r="K267" s="6">
        <f>[1]CALCS!N97</f>
        <v>230</v>
      </c>
      <c r="L267" s="6">
        <f>[1]CALCS!O97</f>
        <v>220</v>
      </c>
      <c r="M267" s="6">
        <f>[1]CALCS!P97</f>
        <v>44</v>
      </c>
      <c r="N267" s="6">
        <f>[1]CALCS!Q97</f>
        <v>55</v>
      </c>
    </row>
    <row r="268" spans="1:14" ht="15" x14ac:dyDescent="0.25">
      <c r="A268" s="1" t="s">
        <v>77</v>
      </c>
      <c r="B268" s="1"/>
      <c r="C268" s="6">
        <f>SUM(C265:C267)</f>
        <v>69.124800000000008</v>
      </c>
      <c r="D268" s="6">
        <f t="shared" ref="D268:N268" si="7">SUM(D265:D267)</f>
        <v>150.34912500000002</v>
      </c>
      <c r="E268" s="6">
        <f t="shared" si="7"/>
        <v>204</v>
      </c>
      <c r="F268" s="6">
        <f t="shared" si="7"/>
        <v>288</v>
      </c>
      <c r="G268" s="6">
        <f t="shared" si="7"/>
        <v>277</v>
      </c>
      <c r="H268" s="6">
        <f t="shared" si="7"/>
        <v>230</v>
      </c>
      <c r="I268" s="6">
        <f t="shared" si="7"/>
        <v>166</v>
      </c>
      <c r="J268" s="6">
        <f t="shared" si="7"/>
        <v>168</v>
      </c>
      <c r="K268" s="6">
        <f t="shared" si="7"/>
        <v>244</v>
      </c>
      <c r="L268" s="6">
        <f t="shared" si="7"/>
        <v>233</v>
      </c>
      <c r="M268" s="6">
        <f t="shared" si="7"/>
        <v>58</v>
      </c>
      <c r="N268" s="6">
        <f t="shared" si="7"/>
        <v>67</v>
      </c>
    </row>
    <row r="269" spans="1:14" ht="15" x14ac:dyDescent="0.25">
      <c r="A269" s="1" t="s">
        <v>78</v>
      </c>
      <c r="B269" s="1"/>
      <c r="C269" s="7">
        <f>[1]CALCS!F109</f>
        <v>62.480249999999998</v>
      </c>
      <c r="D269" s="7">
        <f>[1]CALCS!G109</f>
        <v>36.893100000000004</v>
      </c>
      <c r="E269" s="7">
        <f>[1]CALCS!H109</f>
        <v>48</v>
      </c>
      <c r="F269" s="7">
        <f>[1]CALCS!I109</f>
        <v>413</v>
      </c>
      <c r="G269" s="7">
        <f>[1]CALCS!J109</f>
        <v>409</v>
      </c>
      <c r="H269" s="7">
        <f>[1]CALCS!K109</f>
        <v>394</v>
      </c>
      <c r="I269" s="7">
        <f>[1]CALCS!L109</f>
        <v>151</v>
      </c>
      <c r="J269" s="7">
        <f>[1]CALCS!M109</f>
        <v>221</v>
      </c>
      <c r="K269" s="7">
        <f>[1]CALCS!N109</f>
        <v>160</v>
      </c>
      <c r="L269" s="7">
        <f>[1]CALCS!O109</f>
        <v>160</v>
      </c>
      <c r="M269" s="7">
        <f>[1]CALCS!P109</f>
        <v>111</v>
      </c>
      <c r="N269" s="7">
        <f>[1]CALCS!Q109</f>
        <v>183</v>
      </c>
    </row>
    <row r="270" spans="1:14" ht="15" x14ac:dyDescent="0.25">
      <c r="A270" s="1" t="s">
        <v>79</v>
      </c>
      <c r="B270" s="1"/>
      <c r="C270" s="6">
        <f>SUM(C268:C269)</f>
        <v>131.60505000000001</v>
      </c>
      <c r="D270" s="6">
        <f t="shared" ref="D270:N270" si="8">SUM(D268:D269)</f>
        <v>187.24222500000002</v>
      </c>
      <c r="E270" s="6">
        <f t="shared" si="8"/>
        <v>252</v>
      </c>
      <c r="F270" s="6">
        <f t="shared" si="8"/>
        <v>701</v>
      </c>
      <c r="G270" s="6">
        <f t="shared" si="8"/>
        <v>686</v>
      </c>
      <c r="H270" s="6">
        <f t="shared" si="8"/>
        <v>624</v>
      </c>
      <c r="I270" s="6">
        <f t="shared" si="8"/>
        <v>317</v>
      </c>
      <c r="J270" s="6">
        <f t="shared" si="8"/>
        <v>389</v>
      </c>
      <c r="K270" s="6">
        <f t="shared" si="8"/>
        <v>404</v>
      </c>
      <c r="L270" s="6">
        <f t="shared" si="8"/>
        <v>393</v>
      </c>
      <c r="M270" s="6">
        <f t="shared" si="8"/>
        <v>169</v>
      </c>
      <c r="N270" s="6">
        <f t="shared" si="8"/>
        <v>250</v>
      </c>
    </row>
    <row r="271" spans="1:14" ht="15" x14ac:dyDescent="0.25">
      <c r="A271" s="1" t="s">
        <v>80</v>
      </c>
      <c r="B271" s="1"/>
      <c r="C271" s="5">
        <f>[1]CALCS!F122</f>
        <v>0</v>
      </c>
      <c r="D271" s="5">
        <f>[1]CALCS!G122</f>
        <v>0</v>
      </c>
      <c r="E271" s="5">
        <f>[1]CALCS!H122</f>
        <v>-0.22670000000005075</v>
      </c>
      <c r="F271" s="5">
        <f>[1]CALCS!I122</f>
        <v>0.68182000000001608</v>
      </c>
      <c r="G271" s="5">
        <f>[1]CALCS!J122</f>
        <v>-7.139599999999291E-2</v>
      </c>
      <c r="H271" s="5">
        <f>[1]CALCS!K122</f>
        <v>-0.51532800000001089</v>
      </c>
      <c r="I271" s="5">
        <f>[1]CALCS!L122</f>
        <v>0.20685500000001866</v>
      </c>
      <c r="J271" s="5">
        <f>[1]CALCS!M122</f>
        <v>0.23272500000001628</v>
      </c>
      <c r="K271" s="5">
        <f>[1]CALCS!N122</f>
        <v>0</v>
      </c>
      <c r="L271" s="5">
        <f>[1]CALCS!O122</f>
        <v>0</v>
      </c>
      <c r="M271" s="5">
        <f>[1]CALCS!P122</f>
        <v>0.38837240000006545</v>
      </c>
      <c r="N271" s="5">
        <f>[1]CALCS!Q122</f>
        <v>-1.5061854499999754</v>
      </c>
    </row>
    <row r="272" spans="1:14" ht="15" x14ac:dyDescent="0.25">
      <c r="A272" s="1" t="s">
        <v>81</v>
      </c>
      <c r="B272" s="1"/>
      <c r="C272" s="5">
        <f>[1]CALCS!F123</f>
        <v>0</v>
      </c>
      <c r="D272" s="5">
        <f>[1]CALCS!G123</f>
        <v>0</v>
      </c>
      <c r="E272" s="5">
        <f>[1]CALCS!H123</f>
        <v>-0.22670000000005075</v>
      </c>
      <c r="F272" s="5">
        <f>[1]CALCS!I123</f>
        <v>0.45511999999996533</v>
      </c>
      <c r="G272" s="5">
        <f>[1]CALCS!J123</f>
        <v>0.38372399999997242</v>
      </c>
      <c r="H272" s="5">
        <f>[1]CALCS!K123</f>
        <v>-0.13160400000003847</v>
      </c>
      <c r="I272" s="5">
        <f>[1]CALCS!L123</f>
        <v>7.5250999999980195E-2</v>
      </c>
      <c r="J272" s="5">
        <f>[1]CALCS!M123</f>
        <v>0.30797599999999647</v>
      </c>
      <c r="K272" s="5">
        <f>[1]CALCS!N123</f>
        <v>0.30797599999999647</v>
      </c>
      <c r="L272" s="5">
        <f>[1]CALCS!O123</f>
        <v>0.30797599999999647</v>
      </c>
      <c r="M272" s="5">
        <f>[1]CALCS!P123</f>
        <v>0.69634840000006193</v>
      </c>
      <c r="N272" s="5">
        <f>[1]CALCS!Q123</f>
        <v>-0.80983704999991346</v>
      </c>
    </row>
    <row r="273" spans="1:15" ht="15" x14ac:dyDescent="0.25">
      <c r="A273" s="1" t="s">
        <v>82</v>
      </c>
      <c r="B273" s="1"/>
      <c r="C273" s="7">
        <f>[1]CALCS!F124</f>
        <v>1829</v>
      </c>
      <c r="D273" s="7">
        <f>[1]CALCS!G124</f>
        <v>897</v>
      </c>
      <c r="E273" s="7">
        <f>[1]CALCS!H124</f>
        <v>469</v>
      </c>
      <c r="F273" s="7">
        <f>[1]CALCS!I124</f>
        <v>492</v>
      </c>
      <c r="G273" s="7">
        <f>[1]CALCS!J124</f>
        <v>402</v>
      </c>
      <c r="H273" s="7">
        <f>[1]CALCS!K124</f>
        <v>446</v>
      </c>
      <c r="I273" s="7">
        <f>[1]CALCS!L124</f>
        <v>461</v>
      </c>
      <c r="J273" s="7">
        <f>[1]CALCS!M124</f>
        <v>268</v>
      </c>
      <c r="K273" s="7">
        <f>[1]CALCS!N124</f>
        <v>465</v>
      </c>
      <c r="L273" s="7">
        <f>[1]CALCS!O124</f>
        <v>485</v>
      </c>
      <c r="M273" s="7">
        <f>[1]CALCS!P124</f>
        <v>633</v>
      </c>
      <c r="N273" s="7">
        <f>[1]CALCS!Q124</f>
        <v>701</v>
      </c>
    </row>
    <row r="274" spans="1:15" ht="15" x14ac:dyDescent="0.25">
      <c r="A274" s="1" t="s">
        <v>83</v>
      </c>
      <c r="B274" s="1"/>
      <c r="C274" s="7">
        <f>[1]CALCS!F125</f>
        <v>938</v>
      </c>
      <c r="D274" s="7">
        <f>[1]CALCS!G125</f>
        <v>297</v>
      </c>
      <c r="E274" s="7">
        <f>[1]CALCS!H125</f>
        <v>0</v>
      </c>
      <c r="F274" s="7">
        <f>[1]CALCS!I125</f>
        <v>0</v>
      </c>
      <c r="G274" s="7">
        <f>[1]CALCS!J125</f>
        <v>0</v>
      </c>
      <c r="H274" s="7">
        <f>[1]CALCS!K125</f>
        <v>0</v>
      </c>
      <c r="I274" s="7">
        <f>[1]CALCS!L125</f>
        <v>0</v>
      </c>
      <c r="J274" s="7">
        <f>[1]CALCS!M125</f>
        <v>0</v>
      </c>
      <c r="K274" s="7">
        <f>[1]CALCS!N125</f>
        <v>188</v>
      </c>
      <c r="L274" s="7">
        <f>[1]CALCS!O125</f>
        <v>116</v>
      </c>
      <c r="M274" s="7">
        <f>[1]CALCS!P125</f>
        <v>0</v>
      </c>
      <c r="N274" s="7">
        <f>[1]CALCS!Q125</f>
        <v>0</v>
      </c>
    </row>
    <row r="275" spans="1:15" ht="15" x14ac:dyDescent="0.25">
      <c r="A275" s="15" t="s">
        <v>84</v>
      </c>
      <c r="B275" s="15"/>
      <c r="C275" s="16">
        <f>[1]CALCS!F86</f>
        <v>28785.711884350312</v>
      </c>
      <c r="D275" s="16">
        <f>[1]CALCS!G86</f>
        <v>15638.768939209083</v>
      </c>
      <c r="E275" s="16">
        <f>[1]CALCS!H86</f>
        <v>14075.878298873758</v>
      </c>
      <c r="F275" s="16">
        <f>[1]CALCS!I86</f>
        <v>22595.242626844305</v>
      </c>
      <c r="G275" s="16">
        <f>[1]CALCS!J86</f>
        <v>20393.486083321131</v>
      </c>
      <c r="H275" s="16">
        <f>[1]CALCS!K86</f>
        <v>19232.028240040345</v>
      </c>
      <c r="I275" s="16">
        <f>[1]CALCS!L86</f>
        <v>12044.788362370471</v>
      </c>
      <c r="J275" s="16">
        <f>[1]CALCS!M86</f>
        <v>10206.765842998824</v>
      </c>
      <c r="K275" s="16">
        <f>[1]CALCS!N86</f>
        <v>13032.938851202967</v>
      </c>
      <c r="L275" s="16">
        <f>[1]CALCS!O86</f>
        <v>11804.680103460056</v>
      </c>
      <c r="M275" s="16">
        <f>[1]CALCS!P86</f>
        <v>12108.732656148693</v>
      </c>
      <c r="N275" s="16">
        <f>[1]CALCS!Q86</f>
        <v>12765.3717729735</v>
      </c>
    </row>
    <row r="276" spans="1:15" ht="15" x14ac:dyDescent="0.25">
      <c r="A276" s="1" t="s">
        <v>85</v>
      </c>
      <c r="B276" s="1"/>
      <c r="C276" s="17" t="str">
        <f>IF([1]CALCS!F127=1,"closed","open")</f>
        <v>closed</v>
      </c>
      <c r="D276" s="17" t="str">
        <f>IF([1]CALCS!G127=1,"closed","open")</f>
        <v>closed</v>
      </c>
      <c r="E276" s="17" t="str">
        <f>IF([1]CALCS!H127=1,"closed","open")</f>
        <v>open</v>
      </c>
      <c r="F276" s="17" t="str">
        <f>IF([1]CALCS!I127=1,"closed","open")</f>
        <v>open</v>
      </c>
      <c r="G276" s="17" t="str">
        <f>IF([1]CALCS!J127=1,"closed","open")</f>
        <v>open</v>
      </c>
      <c r="H276" s="17" t="str">
        <f>IF([1]CALCS!K127=1,"closed","open")</f>
        <v>open</v>
      </c>
      <c r="I276" s="17" t="str">
        <f>IF([1]CALCS!L127=1,"closed","open")</f>
        <v>open</v>
      </c>
      <c r="J276" s="17" t="str">
        <f>IF([1]CALCS!M127=1,"closed","open")</f>
        <v>open</v>
      </c>
      <c r="K276" s="17" t="str">
        <f>IF([1]CALCS!N127=1,"closed","open")</f>
        <v>open</v>
      </c>
      <c r="L276" s="17" t="str">
        <f>IF([1]CALCS!O127=1,"closed","open")</f>
        <v>closed</v>
      </c>
      <c r="M276" s="17" t="str">
        <f>IF([1]CALCS!P127=1,"closed","open")</f>
        <v>closed</v>
      </c>
      <c r="N276" s="17" t="str">
        <f>IF([1]CALCS!Q127=1,"closed","open")</f>
        <v>closed</v>
      </c>
    </row>
    <row r="277" spans="1:15" ht="15" x14ac:dyDescent="0.25">
      <c r="A277" s="1" t="s">
        <v>86</v>
      </c>
      <c r="B277" s="1"/>
      <c r="C277" s="18">
        <f>[1]CALCS!F132</f>
        <v>5.909449596772564E-2</v>
      </c>
      <c r="D277" s="18">
        <f>[1]CALCS!G132</f>
        <v>0.14402153173129972</v>
      </c>
      <c r="E277" s="18">
        <f>[1]CALCS!H132</f>
        <v>0.25823591923485656</v>
      </c>
      <c r="F277" s="18">
        <f>[1]CALCS!I132</f>
        <v>0.47284164909734333</v>
      </c>
      <c r="G277" s="18">
        <f>[1]CALCS!J132</f>
        <v>0.5113464447806354</v>
      </c>
      <c r="H277" s="18">
        <f>[1]CALCS!K132</f>
        <v>0.50246305418719217</v>
      </c>
      <c r="I277" s="18">
        <f>[1]CALCS!L132</f>
        <v>0.34948096885813151</v>
      </c>
      <c r="J277" s="18">
        <f>[1]CALCS!M132</f>
        <v>0.534113113791574</v>
      </c>
      <c r="K277" s="18">
        <f>[1]CALCS!N132</f>
        <v>0.43359380180195184</v>
      </c>
      <c r="L277" s="18">
        <f>[1]CALCS!O132</f>
        <v>0.45863079115649619</v>
      </c>
      <c r="M277" s="18">
        <f>[1]CALCS!P132</f>
        <v>0.19770408163265307</v>
      </c>
      <c r="N277" s="18">
        <f>[1]CALCS!Q132</f>
        <v>0.26067362008583034</v>
      </c>
    </row>
    <row r="278" spans="1:15" ht="15" x14ac:dyDescent="0.25">
      <c r="A278" s="1" t="s">
        <v>87</v>
      </c>
      <c r="B278" s="1"/>
      <c r="C278" s="19">
        <f>[1]CALCS!F131</f>
        <v>0.35</v>
      </c>
      <c r="D278" s="19">
        <f>[1]CALCS!G131</f>
        <v>0.35</v>
      </c>
      <c r="E278" s="19">
        <f>[1]CALCS!H131</f>
        <v>0.35</v>
      </c>
      <c r="F278" s="19">
        <f>[1]CALCS!I131</f>
        <v>0.65</v>
      </c>
      <c r="G278" s="19">
        <f>[1]CALCS!J131</f>
        <v>0.65</v>
      </c>
      <c r="H278" s="19">
        <f>[1]CALCS!K131</f>
        <v>0.65</v>
      </c>
      <c r="I278" s="19">
        <f>[1]CALCS!L131</f>
        <v>0.65</v>
      </c>
      <c r="J278" s="19">
        <f>[1]CALCS!M131</f>
        <v>0.65</v>
      </c>
      <c r="K278" s="19">
        <f>[1]CALCS!N131</f>
        <v>0.65</v>
      </c>
      <c r="L278" s="19">
        <f>[1]CALCS!O131</f>
        <v>0.65</v>
      </c>
      <c r="M278" s="19">
        <f>[1]CALCS!P131</f>
        <v>0.45</v>
      </c>
      <c r="N278" s="19">
        <f>[1]CALCS!Q131</f>
        <v>0.35</v>
      </c>
    </row>
    <row r="279" spans="1:15" ht="15" x14ac:dyDescent="0.25">
      <c r="A279" s="1" t="s">
        <v>88</v>
      </c>
      <c r="B279" s="1"/>
      <c r="C279" s="5">
        <f>[1]CALCS!F133</f>
        <v>62.986664149866868</v>
      </c>
      <c r="D279" s="5">
        <f>[1]CALCS!G133</f>
        <v>69.350521690496649</v>
      </c>
      <c r="E279" s="5">
        <f>[1]CALCS!H133</f>
        <v>76.155836387749233</v>
      </c>
      <c r="F279" s="5">
        <f>[1]CALCS!I133</f>
        <v>78.270978905958799</v>
      </c>
      <c r="G279" s="5">
        <f>[1]CALCS!J133</f>
        <v>80.512916850330924</v>
      </c>
      <c r="H279" s="5">
        <f>[1]CALCS!K133</f>
        <v>80.200309938794831</v>
      </c>
      <c r="I279" s="5">
        <f>[1]CALCS!L133</f>
        <v>80.095620066708179</v>
      </c>
      <c r="J279" s="5">
        <f>[1]CALCS!M133</f>
        <v>83.967701194784468</v>
      </c>
      <c r="K279" s="5">
        <f>[1]CALCS!N133</f>
        <v>81.264347635041176</v>
      </c>
      <c r="L279" s="5">
        <f>[1]CALCS!O133</f>
        <v>80.055391270335079</v>
      </c>
      <c r="M279" s="5">
        <f>[1]CALCS!P133</f>
        <v>76.837466935523295</v>
      </c>
      <c r="N279" s="5">
        <f>[1]CALCS!Q133</f>
        <v>75.780678446251514</v>
      </c>
      <c r="O279" s="1"/>
    </row>
    <row r="280" spans="1:15" ht="15" x14ac:dyDescent="0.25">
      <c r="A280" s="1" t="s">
        <v>89</v>
      </c>
    </row>
    <row r="281" spans="1:15" ht="15" x14ac:dyDescent="0.25">
      <c r="A281" s="1"/>
    </row>
    <row r="282" spans="1:15" ht="15.75" x14ac:dyDescent="0.25">
      <c r="A282" s="20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6" spans="1:15" ht="15.75" x14ac:dyDescent="0.25">
      <c r="A286" s="4" t="s">
        <v>90</v>
      </c>
    </row>
    <row r="287" spans="1:15" ht="15.75" x14ac:dyDescent="0.25">
      <c r="A287" s="4" t="s">
        <v>27</v>
      </c>
    </row>
    <row r="288" spans="1:15" ht="15.75" x14ac:dyDescent="0.25">
      <c r="A288" s="4" t="s">
        <v>1</v>
      </c>
    </row>
    <row r="289" spans="1:1" ht="15.75" x14ac:dyDescent="0.25">
      <c r="A289" s="4" t="s">
        <v>41</v>
      </c>
    </row>
    <row r="290" spans="1:1" ht="15.75" x14ac:dyDescent="0.25">
      <c r="A290" s="4" t="s">
        <v>51</v>
      </c>
    </row>
    <row r="291" spans="1:1" ht="15.75" x14ac:dyDescent="0.25">
      <c r="A291" s="4" t="s">
        <v>58</v>
      </c>
    </row>
    <row r="292" spans="1:1" ht="15.75" x14ac:dyDescent="0.25">
      <c r="A292" s="4" t="s">
        <v>91</v>
      </c>
    </row>
    <row r="293" spans="1:1" ht="15.75" x14ac:dyDescent="0.25">
      <c r="A293" s="4" t="s">
        <v>92</v>
      </c>
    </row>
  </sheetData>
  <pageMargins left="0.75" right="0.75" top="1" bottom="1" header="0.5" footer="0.5"/>
  <pageSetup scale="58" fitToHeight="0" orientation="landscape" r:id="rId1"/>
  <headerFooter alignWithMargins="0">
    <oddFooter>&amp;L&amp;D&amp;T&amp;C&amp;F</oddFooter>
  </headerFooter>
  <rowBreaks count="7" manualBreakCount="7">
    <brk id="35" max="15" man="1"/>
    <brk id="69" max="15" man="1"/>
    <brk id="110" max="15" man="1"/>
    <brk id="146" max="15" man="1"/>
    <brk id="186" max="15" man="1"/>
    <brk id="228" max="15" man="1"/>
    <brk id="262" max="15" man="1"/>
  </rowBreaks>
  <drawing r:id="rId2"/>
  <legacyDrawing r:id="rId3"/>
  <controls>
    <mc:AlternateContent xmlns:mc="http://schemas.openxmlformats.org/markup-compatibility/2006">
      <mc:Choice Requires="x14">
        <control shapeId="1025" r:id="rId4" name="ComboBox1">
          <controlPr defaultSize="0" autoLine="0" linkedCell="B1" listFillRange="A286:A293" r:id="rId5">
            <anchor moveWithCells="1">
              <from>
                <xdr:col>1</xdr:col>
                <xdr:colOff>66675</xdr:colOff>
                <xdr:row>0</xdr:row>
                <xdr:rowOff>0</xdr:rowOff>
              </from>
              <to>
                <xdr:col>2</xdr:col>
                <xdr:colOff>904875</xdr:colOff>
                <xdr:row>1</xdr:row>
                <xdr:rowOff>123825</xdr:rowOff>
              </to>
            </anchor>
          </controlPr>
        </control>
      </mc:Choice>
      <mc:Fallback>
        <control shapeId="1025" r:id="rId4" name="ComboBox1"/>
      </mc:Fallback>
    </mc:AlternateContent>
    <mc:AlternateContent xmlns:mc="http://schemas.openxmlformats.org/markup-compatibility/2006">
      <mc:Choice Requires="x14">
        <control shapeId="1026" r:id="rId6" name="CommandButton1">
          <controlPr autoLine="0" r:id="rId7">
            <anchor moveWithCells="1">
              <from>
                <xdr:col>4</xdr:col>
                <xdr:colOff>485775</xdr:colOff>
                <xdr:row>0</xdr:row>
                <xdr:rowOff>66675</xdr:rowOff>
              </from>
              <to>
                <xdr:col>5</xdr:col>
                <xdr:colOff>1028700</xdr:colOff>
                <xdr:row>1</xdr:row>
                <xdr:rowOff>180975</xdr:rowOff>
              </to>
            </anchor>
          </controlPr>
        </control>
      </mc:Choice>
      <mc:Fallback>
        <control shapeId="1026" r:id="rId6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Seasonal Results</vt:lpstr>
      <vt:lpstr>'Seasonal Results'!Print_Area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FIELD, RANDI C</dc:creator>
  <cp:keywords/>
  <dc:description/>
  <cp:lastModifiedBy>Tom Evans</cp:lastModifiedBy>
  <cp:revision/>
  <dcterms:created xsi:type="dcterms:W3CDTF">2024-04-22T19:29:44Z</dcterms:created>
  <dcterms:modified xsi:type="dcterms:W3CDTF">2024-09-11T16:54:18Z</dcterms:modified>
  <cp:category/>
  <cp:contentStatus/>
</cp:coreProperties>
</file>